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Universita'\Andrea\IFIR\Internationa corporate finance\"/>
    </mc:Choice>
  </mc:AlternateContent>
  <xr:revisionPtr revIDLastSave="0" documentId="13_ncr:1_{A4CFCD7C-3BB3-49E4-B784-10958B30B3C9}" xr6:coauthVersionLast="47" xr6:coauthVersionMax="47" xr10:uidLastSave="{00000000-0000-0000-0000-000000000000}"/>
  <bookViews>
    <workbookView xWindow="15" yWindow="15" windowWidth="20475" windowHeight="10905" firstSheet="3" activeTab="6" xr2:uid="{00000000-000D-0000-FFFF-FFFF00000000}"/>
  </bookViews>
  <sheets>
    <sheet name="Shareholders" sheetId="2" r:id="rId1"/>
    <sheet name="Geographical Distribution" sheetId="1" r:id="rId2"/>
    <sheet name="Cost vs Margin" sheetId="3" r:id="rId3"/>
    <sheet name="Profitability" sheetId="4" r:id="rId4"/>
    <sheet name="Liquidity-Solvency" sheetId="14" r:id="rId5"/>
    <sheet name="Financial Leverage" sheetId="16" r:id="rId6"/>
    <sheet name="Market Performance" sheetId="17" r:id="rId7"/>
    <sheet name="Risk analysis" sheetId="19" r:id="rId8"/>
    <sheet name="Cost of Equity" sheetId="23" r:id="rId9"/>
    <sheet name="Cost of Debt" sheetId="26" r:id="rId10"/>
    <sheet name="Company Valuation" sheetId="27" r:id="rId11"/>
    <sheet name="Cash Flow" sheetId="15" r:id="rId12"/>
    <sheet name="Income Statement" sheetId="9" r:id="rId13"/>
    <sheet name="Consolidated Balance Sheet" sheetId="7" r:id="rId14"/>
    <sheet name="CSCO Daily" sheetId="18" r:id="rId15"/>
    <sheet name="CSCO Monthly" sheetId="24" r:id="rId16"/>
    <sheet name="SPY" sheetId="25" r:id="rId17"/>
    <sheet name="CDS Spread" sheetId="22" r:id="rId18"/>
    <sheet name="Inflation Rates" sheetId="20" r:id="rId19"/>
    <sheet name="Country Risk Premium" sheetId="2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7" l="1"/>
  <c r="B6" i="26"/>
  <c r="B10" i="27"/>
  <c r="N4" i="27"/>
  <c r="B14" i="27" a="1"/>
  <c r="B14" i="27" s="1"/>
  <c r="B10" i="26" a="1"/>
  <c r="B10" i="26" s="1"/>
  <c r="I2" i="23"/>
  <c r="I6" i="23"/>
  <c r="H6" i="23"/>
  <c r="G6" i="23"/>
  <c r="J2" i="23"/>
  <c r="B23" i="27"/>
  <c r="B25" i="27"/>
  <c r="E22" i="27"/>
  <c r="E12" i="27"/>
  <c r="F13" i="27" l="1"/>
  <c r="F11" i="27"/>
  <c r="G11" i="27" s="1"/>
  <c r="P2" i="14"/>
  <c r="O2" i="14"/>
  <c r="O3" i="14" l="1"/>
  <c r="O4" i="14"/>
  <c r="O5" i="14"/>
  <c r="O6" i="14"/>
  <c r="N3" i="14"/>
  <c r="N4" i="14"/>
  <c r="N5" i="14"/>
  <c r="N6" i="14"/>
  <c r="N2" i="14"/>
  <c r="M3" i="14"/>
  <c r="M4" i="14"/>
  <c r="M5" i="14"/>
  <c r="M6" i="14"/>
  <c r="M2" i="14"/>
  <c r="L5" i="14"/>
  <c r="L2" i="14"/>
  <c r="L3" i="14"/>
  <c r="L4" i="14"/>
  <c r="L6" i="14"/>
  <c r="J3" i="4"/>
  <c r="N3" i="4"/>
  <c r="M4" i="4"/>
  <c r="M5" i="4"/>
  <c r="M6" i="4"/>
  <c r="M7" i="4"/>
  <c r="M3" i="4"/>
  <c r="L4" i="4"/>
  <c r="L5" i="4"/>
  <c r="L6" i="4"/>
  <c r="L7" i="4"/>
  <c r="L3" i="4"/>
  <c r="K4" i="4"/>
  <c r="K5" i="4"/>
  <c r="K6" i="4"/>
  <c r="K7" i="4"/>
  <c r="K3" i="4"/>
  <c r="N4" i="4"/>
  <c r="N5" i="4"/>
  <c r="N6" i="4"/>
  <c r="N7" i="4"/>
  <c r="J4" i="4"/>
  <c r="I3" i="4"/>
  <c r="B13" i="4" s="1"/>
  <c r="C13" i="4" s="1"/>
  <c r="B24" i="27"/>
  <c r="F15" i="27"/>
  <c r="J11" i="27" s="1"/>
  <c r="J16" i="27" s="1"/>
  <c r="F14" i="27"/>
  <c r="F12" i="27"/>
  <c r="E11" i="27"/>
  <c r="E20" i="27"/>
  <c r="E21" i="27" s="1"/>
  <c r="E23" i="27" s="1"/>
  <c r="E24" i="27" s="1"/>
  <c r="B29" i="27"/>
  <c r="L4" i="27"/>
  <c r="L5" i="27"/>
  <c r="L6" i="27"/>
  <c r="L3" i="27"/>
  <c r="J3" i="27"/>
  <c r="K3" i="27" s="1"/>
  <c r="M3" i="27" s="1"/>
  <c r="J4" i="27"/>
  <c r="J5" i="27"/>
  <c r="J6" i="27"/>
  <c r="K6" i="27" s="1"/>
  <c r="M6" i="27" s="1"/>
  <c r="J2" i="27"/>
  <c r="B18" i="26"/>
  <c r="B15" i="26"/>
  <c r="B17" i="26" s="1"/>
  <c r="B5" i="26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3" i="23"/>
  <c r="D8" i="23"/>
  <c r="D4" i="23"/>
  <c r="D5" i="23"/>
  <c r="D6" i="23"/>
  <c r="D7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3" i="23"/>
  <c r="O2" i="17"/>
  <c r="O3" i="17"/>
  <c r="O4" i="17"/>
  <c r="O5" i="17"/>
  <c r="O6" i="17"/>
  <c r="D2" i="17"/>
  <c r="L2" i="17" s="1"/>
  <c r="N2" i="17" s="1"/>
  <c r="F2" i="17"/>
  <c r="G3" i="17"/>
  <c r="G2" i="17"/>
  <c r="D3" i="17"/>
  <c r="L3" i="17" s="1"/>
  <c r="N3" i="17" s="1"/>
  <c r="D4" i="17"/>
  <c r="I4" i="17" s="1"/>
  <c r="D5" i="17"/>
  <c r="I5" i="17" s="1"/>
  <c r="D6" i="17"/>
  <c r="L6" i="17" s="1"/>
  <c r="N6" i="17" s="1"/>
  <c r="F3" i="17"/>
  <c r="F4" i="17"/>
  <c r="G4" i="17" s="1"/>
  <c r="F5" i="17"/>
  <c r="G5" i="17" s="1"/>
  <c r="F6" i="17"/>
  <c r="G6" i="17" s="1"/>
  <c r="K3" i="16"/>
  <c r="K4" i="16"/>
  <c r="K5" i="16"/>
  <c r="K6" i="16"/>
  <c r="K2" i="16"/>
  <c r="J3" i="16"/>
  <c r="J4" i="16"/>
  <c r="J5" i="16"/>
  <c r="J6" i="16"/>
  <c r="J2" i="16"/>
  <c r="I6" i="16"/>
  <c r="I2" i="16"/>
  <c r="H3" i="16"/>
  <c r="H4" i="16"/>
  <c r="H5" i="16"/>
  <c r="H6" i="16"/>
  <c r="H2" i="16"/>
  <c r="D3" i="16"/>
  <c r="I3" i="16" s="1"/>
  <c r="D4" i="16"/>
  <c r="I4" i="16" s="1"/>
  <c r="D5" i="16"/>
  <c r="I5" i="16" s="1"/>
  <c r="D6" i="16"/>
  <c r="D2" i="16"/>
  <c r="P4" i="14"/>
  <c r="K3" i="14"/>
  <c r="P3" i="14" s="1"/>
  <c r="K4" i="14"/>
  <c r="K5" i="14"/>
  <c r="P5" i="14" s="1"/>
  <c r="K6" i="14"/>
  <c r="P6" i="14" s="1"/>
  <c r="K2" i="14"/>
  <c r="F4" i="3"/>
  <c r="E2" i="3"/>
  <c r="E3" i="3"/>
  <c r="E4" i="3"/>
  <c r="E5" i="3"/>
  <c r="E6" i="3"/>
  <c r="D6" i="3"/>
  <c r="F6" i="3" s="1"/>
  <c r="D5" i="3"/>
  <c r="F5" i="3" s="1"/>
  <c r="D4" i="3"/>
  <c r="D3" i="3"/>
  <c r="F3" i="3" s="1"/>
  <c r="D2" i="3"/>
  <c r="F2" i="3" s="1"/>
  <c r="H3" i="4"/>
  <c r="J6" i="4"/>
  <c r="J5" i="4"/>
  <c r="J7" i="4"/>
  <c r="I6" i="4"/>
  <c r="B16" i="4" s="1"/>
  <c r="I5" i="4"/>
  <c r="B15" i="4" s="1"/>
  <c r="C15" i="4" s="1"/>
  <c r="I4" i="4"/>
  <c r="B14" i="4" s="1"/>
  <c r="C14" i="4" s="1"/>
  <c r="I7" i="4"/>
  <c r="B17" i="4" s="1"/>
  <c r="H6" i="4"/>
  <c r="H5" i="4"/>
  <c r="H4" i="4"/>
  <c r="H7" i="4"/>
  <c r="I3" i="1"/>
  <c r="I4" i="1"/>
  <c r="I5" i="1"/>
  <c r="I6" i="1"/>
  <c r="H2" i="1"/>
  <c r="H3" i="1"/>
  <c r="H4" i="1"/>
  <c r="H5" i="1"/>
  <c r="H6" i="1"/>
  <c r="G2" i="1"/>
  <c r="G3" i="1"/>
  <c r="G4" i="1"/>
  <c r="G5" i="1"/>
  <c r="G6" i="1"/>
  <c r="F2" i="1"/>
  <c r="F3" i="1"/>
  <c r="F4" i="1"/>
  <c r="F5" i="1"/>
  <c r="F6" i="1"/>
  <c r="C16" i="4" l="1"/>
  <c r="C17" i="4"/>
  <c r="L5" i="17"/>
  <c r="N5" i="17" s="1"/>
  <c r="L4" i="17"/>
  <c r="N4" i="17" s="1"/>
  <c r="K5" i="27"/>
  <c r="M5" i="27" s="1"/>
  <c r="K4" i="27"/>
  <c r="M4" i="27" s="1"/>
  <c r="N5" i="27"/>
  <c r="N3" i="27"/>
  <c r="N6" i="27"/>
  <c r="B16" i="26"/>
  <c r="B19" i="26" s="1"/>
  <c r="B15" i="27" s="1"/>
  <c r="K10" i="27" s="1"/>
  <c r="I3" i="17"/>
  <c r="I2" i="17"/>
  <c r="I6" i="17"/>
  <c r="O7" i="4"/>
  <c r="O6" i="4"/>
  <c r="F24" i="27" l="1"/>
  <c r="G24" i="27" s="1"/>
  <c r="F21" i="27"/>
  <c r="G21" i="27" s="1"/>
  <c r="F22" i="27"/>
  <c r="G22" i="27" s="1"/>
  <c r="F23" i="27"/>
  <c r="G23" i="27" s="1"/>
  <c r="F20" i="27"/>
  <c r="G20" i="27" s="1"/>
  <c r="O3" i="4"/>
  <c r="E13" i="27"/>
  <c r="G12" i="27"/>
  <c r="O4" i="4"/>
  <c r="O5" i="4"/>
  <c r="L15" i="27" l="1"/>
  <c r="K11" i="27"/>
  <c r="L16" i="27" s="1"/>
  <c r="L17" i="27" s="1"/>
  <c r="G13" i="27"/>
  <c r="E14" i="27"/>
  <c r="G14" i="27" s="1"/>
  <c r="J22" i="27" l="1"/>
  <c r="L18" i="27"/>
  <c r="J23" i="27" s="1"/>
  <c r="E15" i="27"/>
  <c r="G15" i="27" l="1"/>
  <c r="J15" i="27" s="1"/>
  <c r="J17" i="27" s="1"/>
  <c r="J21" i="2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<sst xmlns="http://schemas.openxmlformats.org/spreadsheetml/2006/main" count="5662" uniqueCount="3776">
  <si>
    <t>Year</t>
  </si>
  <si>
    <t>Americas</t>
  </si>
  <si>
    <t>EMEA</t>
  </si>
  <si>
    <t>APJC</t>
  </si>
  <si>
    <t>Total</t>
  </si>
  <si>
    <t>EMEA%</t>
  </si>
  <si>
    <t>APJC%</t>
  </si>
  <si>
    <t>Revenue Growth</t>
  </si>
  <si>
    <t>Americas%</t>
  </si>
  <si>
    <t>Shareholder</t>
  </si>
  <si>
    <t>Country</t>
  </si>
  <si>
    <t>Ownership (%)</t>
  </si>
  <si>
    <t>Vanguard Group Inc.</t>
  </si>
  <si>
    <t>United States</t>
  </si>
  <si>
    <t>BlackRock Inc.</t>
  </si>
  <si>
    <t>State Street Corporation</t>
  </si>
  <si>
    <t>Geode Capital Management, LLC</t>
  </si>
  <si>
    <t>Morgan Stanley</t>
  </si>
  <si>
    <t>Charles Schwab Investment Management, Inc.</t>
  </si>
  <si>
    <t>FMR, LLC</t>
  </si>
  <si>
    <t>Invesco Ltd.</t>
  </si>
  <si>
    <t>Norges Bank</t>
  </si>
  <si>
    <t>Norway</t>
  </si>
  <si>
    <t>Bank of America Corporation</t>
  </si>
  <si>
    <t>Revenue</t>
  </si>
  <si>
    <t>Gross Margin</t>
  </si>
  <si>
    <t>Cost%</t>
  </si>
  <si>
    <t>Margin%</t>
  </si>
  <si>
    <t>Net Income</t>
  </si>
  <si>
    <t>EBIT</t>
  </si>
  <si>
    <t>EBIT Margin</t>
  </si>
  <si>
    <t>ROE</t>
  </si>
  <si>
    <t>Asset Turnover</t>
  </si>
  <si>
    <t>Equity Multiplier</t>
  </si>
  <si>
    <t>Depreciation</t>
  </si>
  <si>
    <t>EBITDA</t>
  </si>
  <si>
    <t>Total Assets</t>
  </si>
  <si>
    <t>Total Equity</t>
  </si>
  <si>
    <t xml:space="preserve">ROA </t>
  </si>
  <si>
    <t xml:space="preserve">Net Profit Margin </t>
  </si>
  <si>
    <t>ROE (DUPONT)</t>
  </si>
  <si>
    <t>ROE Simulated</t>
  </si>
  <si>
    <t/>
  </si>
  <si>
    <t>CISCO SYSTEMS, INC.</t>
  </si>
  <si>
    <t>BALANCE_SHEET2</t>
  </si>
  <si>
    <t>Form Type: 10-K</t>
  </si>
  <si>
    <t>Period End: Jul 26, 2025</t>
  </si>
  <si>
    <t>Date Filed: Sep 03, 2025</t>
  </si>
  <si>
    <t>July 26, 2025</t>
  </si>
  <si>
    <t>July 27, 2024</t>
  </si>
  <si>
    <t>ASSETS</t>
  </si>
  <si>
    <t>Current assets:</t>
  </si>
  <si>
    <t>Cash and cash equivalents</t>
  </si>
  <si>
    <t>Investments</t>
  </si>
  <si>
    <t>Accounts receivable, net of allowance</t>
  </si>
  <si>
    <t>of $69 at July 26, 2025 and $87 at July 27, 2024</t>
  </si>
  <si>
    <t>Inventories</t>
  </si>
  <si>
    <t>Financing receivables, net</t>
  </si>
  <si>
    <t>Other current assets</t>
  </si>
  <si>
    <t>Total current assets</t>
  </si>
  <si>
    <t>Property and equipment, net</t>
  </si>
  <si>
    <t>Goodwill</t>
  </si>
  <si>
    <t>Purchased intangible assets, net</t>
  </si>
  <si>
    <t>Deferred tax assets</t>
  </si>
  <si>
    <t>Other assets</t>
  </si>
  <si>
    <t>TOTAL ASSETS</t>
  </si>
  <si>
    <t>LIABILITIES AND EQUITY</t>
  </si>
  <si>
    <t>Current liabilities:</t>
  </si>
  <si>
    <t>Short-term debt</t>
  </si>
  <si>
    <t>Accounts payable</t>
  </si>
  <si>
    <t>Income taxes payable</t>
  </si>
  <si>
    <t>Accrued compensation</t>
  </si>
  <si>
    <t>Deferred revenue</t>
  </si>
  <si>
    <t>Other current liabilities</t>
  </si>
  <si>
    <t>Total current liabilities</t>
  </si>
  <si>
    <t>Long-term debt</t>
  </si>
  <si>
    <t>Other long-term liabilities</t>
  </si>
  <si>
    <t>Total liabilities</t>
  </si>
  <si>
    <t>Commitments and contingencies (Note 14)</t>
  </si>
  <si>
    <t>Equity:</t>
  </si>
  <si>
    <t>Cisco stockholders' equity:</t>
  </si>
  <si>
    <t>Preferred stock, $0.001 par value: 5 shares authorized; none</t>
  </si>
  <si>
    <t>issued and outstanding</t>
  </si>
  <si>
    <t>Common stock and additional paid-in capital, $0.001 par value:</t>
  </si>
  <si>
    <t>20,000 shares authorized; 3,960 and 4,007 shares issued and</t>
  </si>
  <si>
    <t>outstanding at July 26, 2025 and July 27, 2024, respectively</t>
  </si>
  <si>
    <t>Retained earnings</t>
  </si>
  <si>
    <t>Accumulated other comprehensive loss</t>
  </si>
  <si>
    <t>Total equity</t>
  </si>
  <si>
    <t>TOTAL LIABILITIES AND EQUITY</t>
  </si>
  <si>
    <t>Period End: Jul 29, 2023</t>
  </si>
  <si>
    <t>Date Filed: Sep 07, 2023</t>
  </si>
  <si>
    <t>July 29, 2023</t>
  </si>
  <si>
    <t>July 30, 2022</t>
  </si>
  <si>
    <t>of $85 at July 29, 2023 and $83 at July 30, 2022</t>
  </si>
  <si>
    <t>20,000 shares authorized; 4,066 and 4,110 shares issued and</t>
  </si>
  <si>
    <t>outstanding at July 29, 2023 and July 30, 2022, respectively</t>
  </si>
  <si>
    <t>Retained earnings (Accumulated deficit)</t>
  </si>
  <si>
    <t>Period End: Jul 31, 2021</t>
  </si>
  <si>
    <t>Date Filed: Sep 09, 2021</t>
  </si>
  <si>
    <t>July 31, 2021</t>
  </si>
  <si>
    <t>July 25, 2020</t>
  </si>
  <si>
    <t>of $109 at July 31, 2021 and $143 at July 25, 2020</t>
  </si>
  <si>
    <t>20,000 shares authorized; 4,217 and 4,237 shares issued and</t>
  </si>
  <si>
    <t>outstanding at July 31, 2021 and July 25, 2020, respectively</t>
  </si>
  <si>
    <t>Accumulated deficit</t>
  </si>
  <si>
    <t>CISCO SYSTEMS, INC. Consolidated Balance Sheets 2025/2024 (in millions, except par value)</t>
  </si>
  <si>
    <t>CISCO SYSTEMS, INC. Consolidated Balance Sheets 2023/2022 (in millions, except par value)</t>
  </si>
  <si>
    <t>INCOME_STATEMENT</t>
  </si>
  <si>
    <t>Years Ended</t>
  </si>
  <si>
    <t>REVENUE:</t>
  </si>
  <si>
    <t>Product</t>
  </si>
  <si>
    <t>Services</t>
  </si>
  <si>
    <t>Total revenue</t>
  </si>
  <si>
    <t>COST OF SALES:</t>
  </si>
  <si>
    <t>Total cost of sales</t>
  </si>
  <si>
    <t>GROSS MARGIN</t>
  </si>
  <si>
    <t>OPERATING EXPENSES:</t>
  </si>
  <si>
    <t>Research and development</t>
  </si>
  <si>
    <t>Sales and marketing</t>
  </si>
  <si>
    <t>General and administrative</t>
  </si>
  <si>
    <t>Amortization of purchased intangible assets</t>
  </si>
  <si>
    <t>Restructuring and other charges</t>
  </si>
  <si>
    <t>Total operating expenses</t>
  </si>
  <si>
    <t>OPERATING INCOME</t>
  </si>
  <si>
    <t>Interest income</t>
  </si>
  <si>
    <t>Interest expense</t>
  </si>
  <si>
    <t>Other income (loss), net</t>
  </si>
  <si>
    <t>Interest and other income (loss), net</t>
  </si>
  <si>
    <t>INCOME BEFORE PROVISION FOR INCOME TAXES</t>
  </si>
  <si>
    <t>Provision for income taxes</t>
  </si>
  <si>
    <t>NET INCOME</t>
  </si>
  <si>
    <t>Net income per share:</t>
  </si>
  <si>
    <t>Basic</t>
  </si>
  <si>
    <t>Diluted</t>
  </si>
  <si>
    <t>Shares used in per-share calculation:</t>
  </si>
  <si>
    <t>Service</t>
  </si>
  <si>
    <t>Period End: Jul 30, 2022</t>
  </si>
  <si>
    <t>Date Filed: Sep 08, 2022</t>
  </si>
  <si>
    <t>Created by EDGAR Online, Inc. Income Statement 2025-2023 (in millions, except per-share amounts)</t>
  </si>
  <si>
    <t>Created by EDGAR Online, Inc. Income Statement 2022-2020 (in millions, except per-share amounts)</t>
  </si>
  <si>
    <t>Cost Of Sales</t>
  </si>
  <si>
    <t>Current Assets</t>
  </si>
  <si>
    <t>Cash &amp; Equivalents</t>
  </si>
  <si>
    <t>Current Liabilities</t>
  </si>
  <si>
    <t>Interest Expense</t>
  </si>
  <si>
    <t>Operating Cash Flow</t>
  </si>
  <si>
    <t>Current Ratio</t>
  </si>
  <si>
    <t>Quick Ratio</t>
  </si>
  <si>
    <t>Cash Ratio</t>
  </si>
  <si>
    <t>Interest Coverage</t>
  </si>
  <si>
    <t>CASH_FLOW</t>
  </si>
  <si>
    <t>Cash flows from operating activities:</t>
  </si>
  <si>
    <t>Net income</t>
  </si>
  <si>
    <t>Adjustments to reconcile net income to net cash provided</t>
  </si>
  <si>
    <t>by operating activities:</t>
  </si>
  <si>
    <t>Depreciation, amortization, and other</t>
  </si>
  <si>
    <t>Share-based compensation expense</t>
  </si>
  <si>
    <t>Provision for receivables</t>
  </si>
  <si>
    <t>Deferred income taxes</t>
  </si>
  <si>
    <t>(Gains) losses on divestitures, investments and other,</t>
  </si>
  <si>
    <t>net</t>
  </si>
  <si>
    <t>Change in operating assets and liabilities, net of</t>
  </si>
  <si>
    <t>effects of acquisitions and divestitures:</t>
  </si>
  <si>
    <t>Accounts receivable</t>
  </si>
  <si>
    <t>Financing receivables</t>
  </si>
  <si>
    <t>Income taxes, net</t>
  </si>
  <si>
    <t>Other liabilities</t>
  </si>
  <si>
    <t>Net cash provided by operating activities</t>
  </si>
  <si>
    <t>Cash flows from investing activities:</t>
  </si>
  <si>
    <t>Purchases of investments</t>
  </si>
  <si>
    <t>Proceeds from sales of investments</t>
  </si>
  <si>
    <t>Proceeds from maturities of investments</t>
  </si>
  <si>
    <t>Acquisitions, net of cash and cash equivalents acquired</t>
  </si>
  <si>
    <t>Purchases of investments in privately held companies</t>
  </si>
  <si>
    <t>Return of investments in privately held companies</t>
  </si>
  <si>
    <t>Acquisition of property and equipment</t>
  </si>
  <si>
    <t>Other</t>
  </si>
  <si>
    <t>Net cash provided by (used in) investing activities</t>
  </si>
  <si>
    <t>Cash flows from financing activities:</t>
  </si>
  <si>
    <t>Issuances of common stock</t>
  </si>
  <si>
    <t>Repurchases of common stock - repurchase program</t>
  </si>
  <si>
    <t>Shares repurchased for tax withholdings on vesting of</t>
  </si>
  <si>
    <t>restricted stock units</t>
  </si>
  <si>
    <t>Short-term borrowings, original maturities of 90 days or</t>
  </si>
  <si>
    <t>less, net</t>
  </si>
  <si>
    <t>Issuances of debt</t>
  </si>
  <si>
    <t>Repayments of debt</t>
  </si>
  <si>
    <t>Repayments of Splunk convertible debt, net of capped call</t>
  </si>
  <si>
    <t>proceeds</t>
  </si>
  <si>
    <t>Dividends paid</t>
  </si>
  <si>
    <t>Net cash provided by (used in) financing activities</t>
  </si>
  <si>
    <t>Effect of foreign currency exchange rate changes on cash,</t>
  </si>
  <si>
    <t>cash equivalents, restricted cash and restricted cash</t>
  </si>
  <si>
    <t>equivalents</t>
  </si>
  <si>
    <t>Net increase (decrease) in cash, cash equivalents,</t>
  </si>
  <si>
    <t>restricted cash and restricted cash equivalents</t>
  </si>
  <si>
    <t>Cash, cash equivalents, restricted cash and restricted</t>
  </si>
  <si>
    <t>cash equivalents, beginning of fiscal year</t>
  </si>
  <si>
    <t>cash equivalents, end of fiscal year</t>
  </si>
  <si>
    <t>Supplemental cash flow information:</t>
  </si>
  <si>
    <t>Cash paid for interest</t>
  </si>
  <si>
    <t>Cash paid for income taxes, net</t>
  </si>
  <si>
    <t>Provision (benefit) for receivables</t>
  </si>
  <si>
    <t>and divestitures</t>
  </si>
  <si>
    <t>Proceeds from sales of property and equipment</t>
  </si>
  <si>
    <t>Net cash used in financing activities</t>
  </si>
  <si>
    <t>Net (decrease) increase in cash, cash equivalents,</t>
  </si>
  <si>
    <t>Short Term Debt</t>
  </si>
  <si>
    <t>Long Term Debt</t>
  </si>
  <si>
    <t>Total Debt</t>
  </si>
  <si>
    <t>Created by EDGAR Online, Inc. Consolidated Statements of Cash Flows 2025-2023</t>
  </si>
  <si>
    <t>Net Debt</t>
  </si>
  <si>
    <t>Debt-to-Equity</t>
  </si>
  <si>
    <t>Net Debt-to-EBITDA</t>
  </si>
  <si>
    <t>Debt-to-Assets</t>
  </si>
  <si>
    <t>Equity Ratio</t>
  </si>
  <si>
    <t>Stock Price</t>
  </si>
  <si>
    <t>Shares Outstanding</t>
  </si>
  <si>
    <t>Market Cap</t>
  </si>
  <si>
    <t>EPS</t>
  </si>
  <si>
    <t>P/E</t>
  </si>
  <si>
    <t>Market-to-Book</t>
  </si>
  <si>
    <t>Cash</t>
  </si>
  <si>
    <t>Enterprise Value</t>
  </si>
  <si>
    <t>EV/EBITDA</t>
  </si>
  <si>
    <t>Annual Stock Return</t>
  </si>
  <si>
    <t>Data</t>
  </si>
  <si>
    <t>Ultimo</t>
  </si>
  <si>
    <t>Apertura</t>
  </si>
  <si>
    <t>Massimo</t>
  </si>
  <si>
    <t>Minimo</t>
  </si>
  <si>
    <t>Vol.</t>
  </si>
  <si>
    <t>Var. %</t>
  </si>
  <si>
    <t>06.05.2026</t>
  </si>
  <si>
    <t>9,04M</t>
  </si>
  <si>
    <t>05.05.2026</t>
  </si>
  <si>
    <t>13,46M</t>
  </si>
  <si>
    <t>04.05.2026</t>
  </si>
  <si>
    <t>12,68M</t>
  </si>
  <si>
    <t>01.05.2026</t>
  </si>
  <si>
    <t>16,10M</t>
  </si>
  <si>
    <t>30.04.2026</t>
  </si>
  <si>
    <t>21,69M</t>
  </si>
  <si>
    <t>29.04.2026</t>
  </si>
  <si>
    <t>15,43M</t>
  </si>
  <si>
    <t>28.04.2026</t>
  </si>
  <si>
    <t>16,89M</t>
  </si>
  <si>
    <t>27.04.2026</t>
  </si>
  <si>
    <t>13,81M</t>
  </si>
  <si>
    <t>24.04.2026</t>
  </si>
  <si>
    <t>18,97M</t>
  </si>
  <si>
    <t>23.04.2026</t>
  </si>
  <si>
    <t>21,16M</t>
  </si>
  <si>
    <t>22.04.2026</t>
  </si>
  <si>
    <t>16,99M</t>
  </si>
  <si>
    <t>21.04.2026</t>
  </si>
  <si>
    <t>18,65M</t>
  </si>
  <si>
    <t>20.04.2026</t>
  </si>
  <si>
    <t>16,70M</t>
  </si>
  <si>
    <t>17.04.2026</t>
  </si>
  <si>
    <t>20,32M</t>
  </si>
  <si>
    <t>16.04.2026</t>
  </si>
  <si>
    <t>14,61M</t>
  </si>
  <si>
    <t>15.04.2026</t>
  </si>
  <si>
    <t>15,07M</t>
  </si>
  <si>
    <t>14.04.2026</t>
  </si>
  <si>
    <t>17,86M</t>
  </si>
  <si>
    <t>13.04.2026</t>
  </si>
  <si>
    <t>20,00M</t>
  </si>
  <si>
    <t>10.04.2026</t>
  </si>
  <si>
    <t>17,57M</t>
  </si>
  <si>
    <t>09.04.2026</t>
  </si>
  <si>
    <t>17,61M</t>
  </si>
  <si>
    <t>08.04.2026</t>
  </si>
  <si>
    <t>19,62M</t>
  </si>
  <si>
    <t>07.04.2026</t>
  </si>
  <si>
    <t>13,43M</t>
  </si>
  <si>
    <t>06.04.2026</t>
  </si>
  <si>
    <t>16,39M</t>
  </si>
  <si>
    <t>02.04.2026</t>
  </si>
  <si>
    <t>12,63M</t>
  </si>
  <si>
    <t>01.04.2026</t>
  </si>
  <si>
    <t>21,31M</t>
  </si>
  <si>
    <t>31.03.2026</t>
  </si>
  <si>
    <t>25,11M</t>
  </si>
  <si>
    <t>30.03.2026</t>
  </si>
  <si>
    <t>24,31M</t>
  </si>
  <si>
    <t>27.03.2026</t>
  </si>
  <si>
    <t>20,56M</t>
  </si>
  <si>
    <t>26.03.2026</t>
  </si>
  <si>
    <t>26,65M</t>
  </si>
  <si>
    <t>25.03.2026</t>
  </si>
  <si>
    <t>23,15M</t>
  </si>
  <si>
    <t>24.03.2026</t>
  </si>
  <si>
    <t>23,53M</t>
  </si>
  <si>
    <t>23.03.2026</t>
  </si>
  <si>
    <t>20,07M</t>
  </si>
  <si>
    <t>20.03.2026</t>
  </si>
  <si>
    <t>90,38M</t>
  </si>
  <si>
    <t>19.03.2026</t>
  </si>
  <si>
    <t>17,52M</t>
  </si>
  <si>
    <t>18.03.2026</t>
  </si>
  <si>
    <t>18,83M</t>
  </si>
  <si>
    <t>17.03.2026</t>
  </si>
  <si>
    <t>16,21M</t>
  </si>
  <si>
    <t>16.03.2026</t>
  </si>
  <si>
    <t>14,72M</t>
  </si>
  <si>
    <t>13.03.2026</t>
  </si>
  <si>
    <t>19,08M</t>
  </si>
  <si>
    <t>12.03.2026</t>
  </si>
  <si>
    <t>19,97M</t>
  </si>
  <si>
    <t>11.03.2026</t>
  </si>
  <si>
    <t>14,73M</t>
  </si>
  <si>
    <t>10.03.2026</t>
  </si>
  <si>
    <t>24,84M</t>
  </si>
  <si>
    <t>09.03.2026</t>
  </si>
  <si>
    <t>32,86M</t>
  </si>
  <si>
    <t>06.03.2026</t>
  </si>
  <si>
    <t>20,62M</t>
  </si>
  <si>
    <t>05.03.2026</t>
  </si>
  <si>
    <t>26,84M</t>
  </si>
  <si>
    <t>04.03.2026</t>
  </si>
  <si>
    <t>20,39M</t>
  </si>
  <si>
    <t>03.03.2026</t>
  </si>
  <si>
    <t>02.03.2026</t>
  </si>
  <si>
    <t>18,54M</t>
  </si>
  <si>
    <t>27.02.2026</t>
  </si>
  <si>
    <t>27,50M</t>
  </si>
  <si>
    <t>26.02.2026</t>
  </si>
  <si>
    <t>19,61M</t>
  </si>
  <si>
    <t>25.02.2026</t>
  </si>
  <si>
    <t>22,72M</t>
  </si>
  <si>
    <t>24.02.2026</t>
  </si>
  <si>
    <t>19,49M</t>
  </si>
  <si>
    <t>23.02.2026</t>
  </si>
  <si>
    <t>24,49M</t>
  </si>
  <si>
    <t>20.02.2026</t>
  </si>
  <si>
    <t>29,46M</t>
  </si>
  <si>
    <t>19.02.2026</t>
  </si>
  <si>
    <t>18,44M</t>
  </si>
  <si>
    <t>18.02.2026</t>
  </si>
  <si>
    <t>20,65M</t>
  </si>
  <si>
    <t>17.02.2026</t>
  </si>
  <si>
    <t>24,79M</t>
  </si>
  <si>
    <t>13.02.2026</t>
  </si>
  <si>
    <t>42,89M</t>
  </si>
  <si>
    <t>12.02.2026</t>
  </si>
  <si>
    <t>68,10M</t>
  </si>
  <si>
    <t>11.02.2026</t>
  </si>
  <si>
    <t>34,46M</t>
  </si>
  <si>
    <t>10.02.2026</t>
  </si>
  <si>
    <t>32,11M</t>
  </si>
  <si>
    <t>09.02.2026</t>
  </si>
  <si>
    <t>22,91M</t>
  </si>
  <si>
    <t>06.02.2026</t>
  </si>
  <si>
    <t>23,94M</t>
  </si>
  <si>
    <t>05.02.2026</t>
  </si>
  <si>
    <t>24,24M</t>
  </si>
  <si>
    <t>04.02.2026</t>
  </si>
  <si>
    <t>39,77M</t>
  </si>
  <si>
    <t>03.02.2026</t>
  </si>
  <si>
    <t>34,96M</t>
  </si>
  <si>
    <t>02.02.2026</t>
  </si>
  <si>
    <t>28,24M</t>
  </si>
  <si>
    <t>30.01.2026</t>
  </si>
  <si>
    <t>26,46M</t>
  </si>
  <si>
    <t>29.01.2026</t>
  </si>
  <si>
    <t>22,64M</t>
  </si>
  <si>
    <t>28.01.2026</t>
  </si>
  <si>
    <t>14,02M</t>
  </si>
  <si>
    <t>27.01.2026</t>
  </si>
  <si>
    <t>17,76M</t>
  </si>
  <si>
    <t>26.01.2026</t>
  </si>
  <si>
    <t>24,71M</t>
  </si>
  <si>
    <t>23.01.2026</t>
  </si>
  <si>
    <t>13,13M</t>
  </si>
  <si>
    <t>22.01.2026</t>
  </si>
  <si>
    <t>12,88M</t>
  </si>
  <si>
    <t>21.01.2026</t>
  </si>
  <si>
    <t>18,21M</t>
  </si>
  <si>
    <t>20.01.2026</t>
  </si>
  <si>
    <t>24,00M</t>
  </si>
  <si>
    <t>16.01.2026</t>
  </si>
  <si>
    <t>25,74M</t>
  </si>
  <si>
    <t>15.01.2026</t>
  </si>
  <si>
    <t>14.01.2026</t>
  </si>
  <si>
    <t>17,80M</t>
  </si>
  <si>
    <t>13.01.2026</t>
  </si>
  <si>
    <t>17,81M</t>
  </si>
  <si>
    <t>12.01.2026</t>
  </si>
  <si>
    <t>20,99M</t>
  </si>
  <si>
    <t>09.01.2026</t>
  </si>
  <si>
    <t>19,10M</t>
  </si>
  <si>
    <t>08.01.2026</t>
  </si>
  <si>
    <t>17,19M</t>
  </si>
  <si>
    <t>07.01.2026</t>
  </si>
  <si>
    <t>20,35M</t>
  </si>
  <si>
    <t>06.01.2026</t>
  </si>
  <si>
    <t>17,02M</t>
  </si>
  <si>
    <t>05.01.2026</t>
  </si>
  <si>
    <t>16,33M</t>
  </si>
  <si>
    <t>02.01.2026</t>
  </si>
  <si>
    <t>15,75M</t>
  </si>
  <si>
    <t>31.12.2025</t>
  </si>
  <si>
    <t>13,57M</t>
  </si>
  <si>
    <t>30.12.2025</t>
  </si>
  <si>
    <t>13,95M</t>
  </si>
  <si>
    <t>29.12.2025</t>
  </si>
  <si>
    <t>17,94M</t>
  </si>
  <si>
    <t>26.12.2025</t>
  </si>
  <si>
    <t>10,16M</t>
  </si>
  <si>
    <t>25.12.2025</t>
  </si>
  <si>
    <t>9,10M</t>
  </si>
  <si>
    <t>24.12.2025</t>
  </si>
  <si>
    <t>23.12.2025</t>
  </si>
  <si>
    <t>16,71M</t>
  </si>
  <si>
    <t>22.12.2025</t>
  </si>
  <si>
    <t>18,02M</t>
  </si>
  <si>
    <t>19.12.2025</t>
  </si>
  <si>
    <t>84,88M</t>
  </si>
  <si>
    <t>18.12.2025</t>
  </si>
  <si>
    <t>19,25M</t>
  </si>
  <si>
    <t>17.12.2025</t>
  </si>
  <si>
    <t>26,09M</t>
  </si>
  <si>
    <t>16.12.2025</t>
  </si>
  <si>
    <t>17,74M</t>
  </si>
  <si>
    <t>15.12.2025</t>
  </si>
  <si>
    <t>17,65M</t>
  </si>
  <si>
    <t>12.12.2025</t>
  </si>
  <si>
    <t>16,67M</t>
  </si>
  <si>
    <t>11.12.2025</t>
  </si>
  <si>
    <t>10.12.2025</t>
  </si>
  <si>
    <t>21,30M</t>
  </si>
  <si>
    <t>09.12.2025</t>
  </si>
  <si>
    <t>15,74M</t>
  </si>
  <si>
    <t>08.12.2025</t>
  </si>
  <si>
    <t>17,45M</t>
  </si>
  <si>
    <t>05.12.2025</t>
  </si>
  <si>
    <t>12,58M</t>
  </si>
  <si>
    <t>04.12.2025</t>
  </si>
  <si>
    <t>12,57M</t>
  </si>
  <si>
    <t>03.12.2025</t>
  </si>
  <si>
    <t>16,09M</t>
  </si>
  <si>
    <t>02.12.2025</t>
  </si>
  <si>
    <t>14,62M</t>
  </si>
  <si>
    <t>01.12.2025</t>
  </si>
  <si>
    <t>15,53M</t>
  </si>
  <si>
    <t>28.11.2025</t>
  </si>
  <si>
    <t>7,32M</t>
  </si>
  <si>
    <t>26.11.2025</t>
  </si>
  <si>
    <t>15,97M</t>
  </si>
  <si>
    <t>25.11.2025</t>
  </si>
  <si>
    <t>18,82M</t>
  </si>
  <si>
    <t>24.11.2025</t>
  </si>
  <si>
    <t>26,69M</t>
  </si>
  <si>
    <t>21.11.2025</t>
  </si>
  <si>
    <t>24,43M</t>
  </si>
  <si>
    <t>20.11.2025</t>
  </si>
  <si>
    <t>27,38M</t>
  </si>
  <si>
    <t>19.11.2025</t>
  </si>
  <si>
    <t>24,76M</t>
  </si>
  <si>
    <t>18.11.2025</t>
  </si>
  <si>
    <t>26,03M</t>
  </si>
  <si>
    <t>17.11.2025</t>
  </si>
  <si>
    <t>28,72M</t>
  </si>
  <si>
    <t>14.11.2025</t>
  </si>
  <si>
    <t>38,82M</t>
  </si>
  <si>
    <t>13.11.2025</t>
  </si>
  <si>
    <t>57,64M</t>
  </si>
  <si>
    <t>12.11.2025</t>
  </si>
  <si>
    <t>57,59M</t>
  </si>
  <si>
    <t>11.11.2025</t>
  </si>
  <si>
    <t>21,41M</t>
  </si>
  <si>
    <t>10.11.2025</t>
  </si>
  <si>
    <t>22,20M</t>
  </si>
  <si>
    <t>07.11.2025</t>
  </si>
  <si>
    <t>16,91M</t>
  </si>
  <si>
    <t>06.11.2025</t>
  </si>
  <si>
    <t>16,47M</t>
  </si>
  <si>
    <t>05.11.2025</t>
  </si>
  <si>
    <t>16,11M</t>
  </si>
  <si>
    <t>04.11.2025</t>
  </si>
  <si>
    <t>22,35M</t>
  </si>
  <si>
    <t>03.11.2025</t>
  </si>
  <si>
    <t>21,73M</t>
  </si>
  <si>
    <t>31.10.2025</t>
  </si>
  <si>
    <t>24,01M</t>
  </si>
  <si>
    <t>30.10.2025</t>
  </si>
  <si>
    <t>18,10M</t>
  </si>
  <si>
    <t>29.10.2025</t>
  </si>
  <si>
    <t>28.10.2025</t>
  </si>
  <si>
    <t>19,90M</t>
  </si>
  <si>
    <t>27.10.2025</t>
  </si>
  <si>
    <t>15,99M</t>
  </si>
  <si>
    <t>24.10.2025</t>
  </si>
  <si>
    <t>13,08M</t>
  </si>
  <si>
    <t>23.10.2025</t>
  </si>
  <si>
    <t>22.10.2025</t>
  </si>
  <si>
    <t>14,97M</t>
  </si>
  <si>
    <t>21.10.2025</t>
  </si>
  <si>
    <t>15,76M</t>
  </si>
  <si>
    <t>20.10.2025</t>
  </si>
  <si>
    <t>12,18M</t>
  </si>
  <si>
    <t>17.10.2025</t>
  </si>
  <si>
    <t>16,29M</t>
  </si>
  <si>
    <t>16.10.2025</t>
  </si>
  <si>
    <t>15.10.2025</t>
  </si>
  <si>
    <t>16,26M</t>
  </si>
  <si>
    <t>14.10.2025</t>
  </si>
  <si>
    <t>15,40M</t>
  </si>
  <si>
    <t>13.10.2025</t>
  </si>
  <si>
    <t>14,13M</t>
  </si>
  <si>
    <t>10.10.2025</t>
  </si>
  <si>
    <t>20,96M</t>
  </si>
  <si>
    <t>09.10.2025</t>
  </si>
  <si>
    <t>21,21M</t>
  </si>
  <si>
    <t>08.10.2025</t>
  </si>
  <si>
    <t>34,25M</t>
  </si>
  <si>
    <t>07.10.2025</t>
  </si>
  <si>
    <t>16,49M</t>
  </si>
  <si>
    <t>06.10.2025</t>
  </si>
  <si>
    <t>21,95M</t>
  </si>
  <si>
    <t>03.10.2025</t>
  </si>
  <si>
    <t>11,11M</t>
  </si>
  <si>
    <t>02.10.2025</t>
  </si>
  <si>
    <t>15,71M</t>
  </si>
  <si>
    <t>01.10.2025</t>
  </si>
  <si>
    <t>30.09.2025</t>
  </si>
  <si>
    <t>20,50M</t>
  </si>
  <si>
    <t>29.09.2025</t>
  </si>
  <si>
    <t>14,36M</t>
  </si>
  <si>
    <t>26.09.2025</t>
  </si>
  <si>
    <t>15,08M</t>
  </si>
  <si>
    <t>25.09.2025</t>
  </si>
  <si>
    <t>24.09.2025</t>
  </si>
  <si>
    <t>17,43M</t>
  </si>
  <si>
    <t>23.09.2025</t>
  </si>
  <si>
    <t>22,24M</t>
  </si>
  <si>
    <t>22.09.2025</t>
  </si>
  <si>
    <t>20,40M</t>
  </si>
  <si>
    <t>19.09.2025</t>
  </si>
  <si>
    <t>47,82M</t>
  </si>
  <si>
    <t>18.09.2025</t>
  </si>
  <si>
    <t>20,28M</t>
  </si>
  <si>
    <t>17.09.2025</t>
  </si>
  <si>
    <t>16.09.2025</t>
  </si>
  <si>
    <t>15.09.2025</t>
  </si>
  <si>
    <t>16,20M</t>
  </si>
  <si>
    <t>12.09.2025</t>
  </si>
  <si>
    <t>18,53M</t>
  </si>
  <si>
    <t>11.09.2025</t>
  </si>
  <si>
    <t>17,56M</t>
  </si>
  <si>
    <t>10.09.2025</t>
  </si>
  <si>
    <t>14,69M</t>
  </si>
  <si>
    <t>09.09.2025</t>
  </si>
  <si>
    <t>11,65M</t>
  </si>
  <si>
    <t>08.09.2025</t>
  </si>
  <si>
    <t>14,04M</t>
  </si>
  <si>
    <t>05.09.2025</t>
  </si>
  <si>
    <t>21,05M</t>
  </si>
  <si>
    <t>04.09.2025</t>
  </si>
  <si>
    <t>14,39M</t>
  </si>
  <si>
    <t>03.09.2025</t>
  </si>
  <si>
    <t>14,32M</t>
  </si>
  <si>
    <t>02.09.2025</t>
  </si>
  <si>
    <t>18,93M</t>
  </si>
  <si>
    <t>29.08.2025</t>
  </si>
  <si>
    <t>14,95M</t>
  </si>
  <si>
    <t>28.08.2025</t>
  </si>
  <si>
    <t>15,26M</t>
  </si>
  <si>
    <t>27.08.2025</t>
  </si>
  <si>
    <t>13,88M</t>
  </si>
  <si>
    <t>26.08.2025</t>
  </si>
  <si>
    <t>28,31M</t>
  </si>
  <si>
    <t>25.08.2025</t>
  </si>
  <si>
    <t>11,72M</t>
  </si>
  <si>
    <t>22.08.2025</t>
  </si>
  <si>
    <t>16,83M</t>
  </si>
  <si>
    <t>21.08.2025</t>
  </si>
  <si>
    <t>12,46M</t>
  </si>
  <si>
    <t>20.08.2025</t>
  </si>
  <si>
    <t>19.08.2025</t>
  </si>
  <si>
    <t>18,75M</t>
  </si>
  <si>
    <t>18.08.2025</t>
  </si>
  <si>
    <t>20,90M</t>
  </si>
  <si>
    <t>15.08.2025</t>
  </si>
  <si>
    <t>40,88M</t>
  </si>
  <si>
    <t>14.08.2025</t>
  </si>
  <si>
    <t>39,32M</t>
  </si>
  <si>
    <t>13.08.2025</t>
  </si>
  <si>
    <t>38,10M</t>
  </si>
  <si>
    <t>12.08.2025</t>
  </si>
  <si>
    <t>21,94M</t>
  </si>
  <si>
    <t>11.08.2025</t>
  </si>
  <si>
    <t>28,91M</t>
  </si>
  <si>
    <t>08.08.2025</t>
  </si>
  <si>
    <t>31,66M</t>
  </si>
  <si>
    <t>07.08.2025</t>
  </si>
  <si>
    <t>22,58M</t>
  </si>
  <si>
    <t>06.08.2025</t>
  </si>
  <si>
    <t>23,11M</t>
  </si>
  <si>
    <t>05.08.2025</t>
  </si>
  <si>
    <t>04.08.2025</t>
  </si>
  <si>
    <t>17,05M</t>
  </si>
  <si>
    <t>01.08.2025</t>
  </si>
  <si>
    <t>21,65M</t>
  </si>
  <si>
    <t>31.07.2025</t>
  </si>
  <si>
    <t>30.07.2025</t>
  </si>
  <si>
    <t>15,52M</t>
  </si>
  <si>
    <t>29.07.2025</t>
  </si>
  <si>
    <t>28.07.2025</t>
  </si>
  <si>
    <t>25.07.2025</t>
  </si>
  <si>
    <t>11,59M</t>
  </si>
  <si>
    <t>24.07.2025</t>
  </si>
  <si>
    <t>13,53M</t>
  </si>
  <si>
    <t>23.07.2025</t>
  </si>
  <si>
    <t>13,04M</t>
  </si>
  <si>
    <t>22.07.2025</t>
  </si>
  <si>
    <t>14,53M</t>
  </si>
  <si>
    <t>21.07.2025</t>
  </si>
  <si>
    <t>14,67M</t>
  </si>
  <si>
    <t>18.07.2025</t>
  </si>
  <si>
    <t>16,15M</t>
  </si>
  <si>
    <t>17.07.2025</t>
  </si>
  <si>
    <t>16.07.2025</t>
  </si>
  <si>
    <t>15,16M</t>
  </si>
  <si>
    <t>15.07.2025</t>
  </si>
  <si>
    <t>13,94M</t>
  </si>
  <si>
    <t>14.07.2025</t>
  </si>
  <si>
    <t>16,45M</t>
  </si>
  <si>
    <t>11.07.2025</t>
  </si>
  <si>
    <t>14,70M</t>
  </si>
  <si>
    <t>10.07.2025</t>
  </si>
  <si>
    <t>15,01M</t>
  </si>
  <si>
    <t>09.07.2025</t>
  </si>
  <si>
    <t>23,77M</t>
  </si>
  <si>
    <t>08.07.2025</t>
  </si>
  <si>
    <t>21,18M</t>
  </si>
  <si>
    <t>07.07.2025</t>
  </si>
  <si>
    <t>23,99M</t>
  </si>
  <si>
    <t>03.07.2025</t>
  </si>
  <si>
    <t>17,97M</t>
  </si>
  <si>
    <t>02.07.2025</t>
  </si>
  <si>
    <t>16,66M</t>
  </si>
  <si>
    <t>01.07.2025</t>
  </si>
  <si>
    <t>30.06.2025</t>
  </si>
  <si>
    <t>32,56M</t>
  </si>
  <si>
    <t>27.06.2025</t>
  </si>
  <si>
    <t>26,22M</t>
  </si>
  <si>
    <t>26.06.2025</t>
  </si>
  <si>
    <t>25.06.2025</t>
  </si>
  <si>
    <t>19,40M</t>
  </si>
  <si>
    <t>24.06.2025</t>
  </si>
  <si>
    <t>23,16M</t>
  </si>
  <si>
    <t>23.06.2025</t>
  </si>
  <si>
    <t>34,03M</t>
  </si>
  <si>
    <t>20.06.2025</t>
  </si>
  <si>
    <t>50,42M</t>
  </si>
  <si>
    <t>18.06.2025</t>
  </si>
  <si>
    <t>22,66M</t>
  </si>
  <si>
    <t>17.06.2025</t>
  </si>
  <si>
    <t>18,85M</t>
  </si>
  <si>
    <t>16.06.2025</t>
  </si>
  <si>
    <t>16,96M</t>
  </si>
  <si>
    <t>13.06.2025</t>
  </si>
  <si>
    <t>14,63M</t>
  </si>
  <si>
    <t>12.06.2025</t>
  </si>
  <si>
    <t>11.06.2025</t>
  </si>
  <si>
    <t>20,44M</t>
  </si>
  <si>
    <t>10.06.2025</t>
  </si>
  <si>
    <t>17,21M</t>
  </si>
  <si>
    <t>09.06.2025</t>
  </si>
  <si>
    <t>13,69M</t>
  </si>
  <si>
    <t>06.06.2025</t>
  </si>
  <si>
    <t>20,94M</t>
  </si>
  <si>
    <t>05.06.2025</t>
  </si>
  <si>
    <t>17,06M</t>
  </si>
  <si>
    <t>04.06.2025</t>
  </si>
  <si>
    <t>14,77M</t>
  </si>
  <si>
    <t>03.06.2025</t>
  </si>
  <si>
    <t>02.06.2025</t>
  </si>
  <si>
    <t>15,82M</t>
  </si>
  <si>
    <t>30.05.2025</t>
  </si>
  <si>
    <t>25,83M</t>
  </si>
  <si>
    <t>29.05.2025</t>
  </si>
  <si>
    <t>13,98M</t>
  </si>
  <si>
    <t>28.05.2025</t>
  </si>
  <si>
    <t>27.05.2025</t>
  </si>
  <si>
    <t>23.05.2025</t>
  </si>
  <si>
    <t>15,65M</t>
  </si>
  <si>
    <t>22.05.2025</t>
  </si>
  <si>
    <t>15,64M</t>
  </si>
  <si>
    <t>21.05.2025</t>
  </si>
  <si>
    <t>15,60M</t>
  </si>
  <si>
    <t>20.05.2025</t>
  </si>
  <si>
    <t>15,00M</t>
  </si>
  <si>
    <t>19.05.2025</t>
  </si>
  <si>
    <t>16,25M</t>
  </si>
  <si>
    <t>16.05.2025</t>
  </si>
  <si>
    <t>30,29M</t>
  </si>
  <si>
    <t>15.05.2025</t>
  </si>
  <si>
    <t>60,72M</t>
  </si>
  <si>
    <t>14.05.2025</t>
  </si>
  <si>
    <t>34,51M</t>
  </si>
  <si>
    <t>13.05.2025</t>
  </si>
  <si>
    <t>18,59M</t>
  </si>
  <si>
    <t>12.05.2025</t>
  </si>
  <si>
    <t>23,70M</t>
  </si>
  <si>
    <t>09.05.2025</t>
  </si>
  <si>
    <t>17,48M</t>
  </si>
  <si>
    <t>08.05.2025</t>
  </si>
  <si>
    <t>07.05.2025</t>
  </si>
  <si>
    <t>14,08M</t>
  </si>
  <si>
    <t>06.05.2025</t>
  </si>
  <si>
    <t>13,77M</t>
  </si>
  <si>
    <t>05.05.2025</t>
  </si>
  <si>
    <t>14,76M</t>
  </si>
  <si>
    <t>02.05.2025</t>
  </si>
  <si>
    <t>01.05.2025</t>
  </si>
  <si>
    <t>16,42M</t>
  </si>
  <si>
    <t>30.04.2025</t>
  </si>
  <si>
    <t>19,92M</t>
  </si>
  <si>
    <t>29.04.2025</t>
  </si>
  <si>
    <t>13,47M</t>
  </si>
  <si>
    <t>28.04.2025</t>
  </si>
  <si>
    <t>23,14M</t>
  </si>
  <si>
    <t>25.04.2025</t>
  </si>
  <si>
    <t>24.04.2025</t>
  </si>
  <si>
    <t>22,78M</t>
  </si>
  <si>
    <t>23.04.2025</t>
  </si>
  <si>
    <t>30,23M</t>
  </si>
  <si>
    <t>22.04.2025</t>
  </si>
  <si>
    <t>19,96M</t>
  </si>
  <si>
    <t>21.04.2025</t>
  </si>
  <si>
    <t>15,58M</t>
  </si>
  <si>
    <t>17.04.2025</t>
  </si>
  <si>
    <t>15,91M</t>
  </si>
  <si>
    <t>16.04.2025</t>
  </si>
  <si>
    <t>20,55M</t>
  </si>
  <si>
    <t>15.04.2025</t>
  </si>
  <si>
    <t>14.04.2025</t>
  </si>
  <si>
    <t>15,66M</t>
  </si>
  <si>
    <t>11.04.2025</t>
  </si>
  <si>
    <t>23,04M</t>
  </si>
  <si>
    <t>10.04.2025</t>
  </si>
  <si>
    <t>31,96M</t>
  </si>
  <si>
    <t>09.04.2025</t>
  </si>
  <si>
    <t>53,38M</t>
  </si>
  <si>
    <t>08.04.2025</t>
  </si>
  <si>
    <t>37,38M</t>
  </si>
  <si>
    <t>07.04.2025</t>
  </si>
  <si>
    <t>46,82M</t>
  </si>
  <si>
    <t>04.04.2025</t>
  </si>
  <si>
    <t>42,92M</t>
  </si>
  <si>
    <t>03.04.2025</t>
  </si>
  <si>
    <t>40,01M</t>
  </si>
  <si>
    <t>02.04.2025</t>
  </si>
  <si>
    <t>18,61M</t>
  </si>
  <si>
    <t>01.04.2025</t>
  </si>
  <si>
    <t>17,38M</t>
  </si>
  <si>
    <t>31.03.2025</t>
  </si>
  <si>
    <t>29,34M</t>
  </si>
  <si>
    <t>28.03.2025</t>
  </si>
  <si>
    <t>24,93M</t>
  </si>
  <si>
    <t>27.03.2025</t>
  </si>
  <si>
    <t>25,72M</t>
  </si>
  <si>
    <t>26.03.2025</t>
  </si>
  <si>
    <t>30,63M</t>
  </si>
  <si>
    <t>25.03.2025</t>
  </si>
  <si>
    <t>20,88M</t>
  </si>
  <si>
    <t>24.03.2025</t>
  </si>
  <si>
    <t>28,34M</t>
  </si>
  <si>
    <t>21.03.2025</t>
  </si>
  <si>
    <t>65,94M</t>
  </si>
  <si>
    <t>20.03.2025</t>
  </si>
  <si>
    <t>16,53M</t>
  </si>
  <si>
    <t>19.03.2025</t>
  </si>
  <si>
    <t>15,49M</t>
  </si>
  <si>
    <t>18.03.2025</t>
  </si>
  <si>
    <t>17.03.2025</t>
  </si>
  <si>
    <t>15,34M</t>
  </si>
  <si>
    <t>14.03.2025</t>
  </si>
  <si>
    <t>13.03.2025</t>
  </si>
  <si>
    <t>16,46M</t>
  </si>
  <si>
    <t>12.03.2025</t>
  </si>
  <si>
    <t>18,94M</t>
  </si>
  <si>
    <t>11.03.2025</t>
  </si>
  <si>
    <t>25,79M</t>
  </si>
  <si>
    <t>10.03.2025</t>
  </si>
  <si>
    <t>27,42M</t>
  </si>
  <si>
    <t>07.03.2025</t>
  </si>
  <si>
    <t>21,15M</t>
  </si>
  <si>
    <t>06.03.2025</t>
  </si>
  <si>
    <t>05.03.2025</t>
  </si>
  <si>
    <t>14,93M</t>
  </si>
  <si>
    <t>04.03.2025</t>
  </si>
  <si>
    <t>24,59M</t>
  </si>
  <si>
    <t>03.03.2025</t>
  </si>
  <si>
    <t>21,81M</t>
  </si>
  <si>
    <t>28.02.2025</t>
  </si>
  <si>
    <t>26,71M</t>
  </si>
  <si>
    <t>27.02.2025</t>
  </si>
  <si>
    <t>24,70M</t>
  </si>
  <si>
    <t>26.02.2025</t>
  </si>
  <si>
    <t>13,45M</t>
  </si>
  <si>
    <t>25.02.2025</t>
  </si>
  <si>
    <t>22,10M</t>
  </si>
  <si>
    <t>24.02.2025</t>
  </si>
  <si>
    <t>17,29M</t>
  </si>
  <si>
    <t>21.02.2025</t>
  </si>
  <si>
    <t>18,91M</t>
  </si>
  <si>
    <t>20.02.2025</t>
  </si>
  <si>
    <t>14,84M</t>
  </si>
  <si>
    <t>19.02.2025</t>
  </si>
  <si>
    <t>14,16M</t>
  </si>
  <si>
    <t>18.02.2025</t>
  </si>
  <si>
    <t>22,05M</t>
  </si>
  <si>
    <t>14.02.2025</t>
  </si>
  <si>
    <t>23,69M</t>
  </si>
  <si>
    <t>13.02.2025</t>
  </si>
  <si>
    <t>43,26M</t>
  </si>
  <si>
    <t>12.02.2025</t>
  </si>
  <si>
    <t>30,12M</t>
  </si>
  <si>
    <t>11.02.2025</t>
  </si>
  <si>
    <t>17,70M</t>
  </si>
  <si>
    <t>10.02.2025</t>
  </si>
  <si>
    <t>07.02.2025</t>
  </si>
  <si>
    <t>23,86M</t>
  </si>
  <si>
    <t>06.02.2025</t>
  </si>
  <si>
    <t>05.02.2025</t>
  </si>
  <si>
    <t>19,01M</t>
  </si>
  <si>
    <t>04.02.2025</t>
  </si>
  <si>
    <t>12,74M</t>
  </si>
  <si>
    <t>03.02.2025</t>
  </si>
  <si>
    <t>20,38M</t>
  </si>
  <si>
    <t>31.01.2025</t>
  </si>
  <si>
    <t>16,56M</t>
  </si>
  <si>
    <t>30.01.2025</t>
  </si>
  <si>
    <t>17,08M</t>
  </si>
  <si>
    <t>29.01.2025</t>
  </si>
  <si>
    <t>17,93M</t>
  </si>
  <si>
    <t>28.01.2025</t>
  </si>
  <si>
    <t>25,47M</t>
  </si>
  <si>
    <t>27.01.2025</t>
  </si>
  <si>
    <t>33,73M</t>
  </si>
  <si>
    <t>24.01.2025</t>
  </si>
  <si>
    <t>17,23M</t>
  </si>
  <si>
    <t>23.01.2025</t>
  </si>
  <si>
    <t>14,21M</t>
  </si>
  <si>
    <t>22.01.2025</t>
  </si>
  <si>
    <t>19,44M</t>
  </si>
  <si>
    <t>21.01.2025</t>
  </si>
  <si>
    <t>18,62M</t>
  </si>
  <si>
    <t>17.01.2025</t>
  </si>
  <si>
    <t>23,88M</t>
  </si>
  <si>
    <t>16.01.2025</t>
  </si>
  <si>
    <t>18,45M</t>
  </si>
  <si>
    <t>15.01.2025</t>
  </si>
  <si>
    <t>19,19M</t>
  </si>
  <si>
    <t>14.01.2025</t>
  </si>
  <si>
    <t>16,72M</t>
  </si>
  <si>
    <t>13.01.2025</t>
  </si>
  <si>
    <t>19,34M</t>
  </si>
  <si>
    <t>10.01.2025</t>
  </si>
  <si>
    <t>17,27M</t>
  </si>
  <si>
    <t>08.01.2025</t>
  </si>
  <si>
    <t>14,40M</t>
  </si>
  <si>
    <t>07.01.2025</t>
  </si>
  <si>
    <t>16,86M</t>
  </si>
  <si>
    <t>06.01.2025</t>
  </si>
  <si>
    <t>03.01.2025</t>
  </si>
  <si>
    <t>18,86M</t>
  </si>
  <si>
    <t>02.01.2025</t>
  </si>
  <si>
    <t>16,14M</t>
  </si>
  <si>
    <t>31.12.2024</t>
  </si>
  <si>
    <t>14,17M</t>
  </si>
  <si>
    <t>30.12.2024</t>
  </si>
  <si>
    <t>12,95M</t>
  </si>
  <si>
    <t>27.12.2024</t>
  </si>
  <si>
    <t>13,02M</t>
  </si>
  <si>
    <t>26.12.2024</t>
  </si>
  <si>
    <t>8,53M</t>
  </si>
  <si>
    <t>24.12.2024</t>
  </si>
  <si>
    <t>9,92M</t>
  </si>
  <si>
    <t>23.12.2024</t>
  </si>
  <si>
    <t>18,67M</t>
  </si>
  <si>
    <t>20.12.2024</t>
  </si>
  <si>
    <t>69,54M</t>
  </si>
  <si>
    <t>19.12.2024</t>
  </si>
  <si>
    <t>18.12.2024</t>
  </si>
  <si>
    <t>24,20M</t>
  </si>
  <si>
    <t>17.12.2024</t>
  </si>
  <si>
    <t>24,91M</t>
  </si>
  <si>
    <t>16.12.2024</t>
  </si>
  <si>
    <t>26,88M</t>
  </si>
  <si>
    <t>13.12.2024</t>
  </si>
  <si>
    <t>12.12.2024</t>
  </si>
  <si>
    <t>11.12.2024</t>
  </si>
  <si>
    <t>10.12.2024</t>
  </si>
  <si>
    <t>14,48M</t>
  </si>
  <si>
    <t>09.12.2024</t>
  </si>
  <si>
    <t>16,52M</t>
  </si>
  <si>
    <t>06.12.2024</t>
  </si>
  <si>
    <t>05.12.2024</t>
  </si>
  <si>
    <t>19,12M</t>
  </si>
  <si>
    <t>04.12.2024</t>
  </si>
  <si>
    <t>16,87M</t>
  </si>
  <si>
    <t>03.12.2024</t>
  </si>
  <si>
    <t>11,75M</t>
  </si>
  <si>
    <t>02.12.2024</t>
  </si>
  <si>
    <t>15,98M</t>
  </si>
  <si>
    <t>29.11.2024</t>
  </si>
  <si>
    <t>11,62M</t>
  </si>
  <si>
    <t>27.11.2024</t>
  </si>
  <si>
    <t>12,70M</t>
  </si>
  <si>
    <t>26.11.2024</t>
  </si>
  <si>
    <t>25.11.2024</t>
  </si>
  <si>
    <t>52,41M</t>
  </si>
  <si>
    <t>22.11.2024</t>
  </si>
  <si>
    <t>21.11.2024</t>
  </si>
  <si>
    <t>16,16M</t>
  </si>
  <si>
    <t>20.11.2024</t>
  </si>
  <si>
    <t>19.11.2024</t>
  </si>
  <si>
    <t>18.11.2024</t>
  </si>
  <si>
    <t>15.11.2024</t>
  </si>
  <si>
    <t>28,17M</t>
  </si>
  <si>
    <t>14.11.2024</t>
  </si>
  <si>
    <t>33,75M</t>
  </si>
  <si>
    <t>13.11.2024</t>
  </si>
  <si>
    <t>36,35M</t>
  </si>
  <si>
    <t>12.11.2024</t>
  </si>
  <si>
    <t>16,61M</t>
  </si>
  <si>
    <t>11.11.2024</t>
  </si>
  <si>
    <t>17,83M</t>
  </si>
  <si>
    <t>08.11.2024</t>
  </si>
  <si>
    <t>07.11.2024</t>
  </si>
  <si>
    <t>17,88M</t>
  </si>
  <si>
    <t>06.11.2024</t>
  </si>
  <si>
    <t>20,51M</t>
  </si>
  <si>
    <t>05.11.2024</t>
  </si>
  <si>
    <t>10,18M</t>
  </si>
  <si>
    <t>04.11.2024</t>
  </si>
  <si>
    <t>13,27M</t>
  </si>
  <si>
    <t>01.11.2024</t>
  </si>
  <si>
    <t>19,24M</t>
  </si>
  <si>
    <t>31.10.2024</t>
  </si>
  <si>
    <t>22,02M</t>
  </si>
  <si>
    <t>30.10.2024</t>
  </si>
  <si>
    <t>13,28M</t>
  </si>
  <si>
    <t>29.10.2024</t>
  </si>
  <si>
    <t>18,81M</t>
  </si>
  <si>
    <t>28.10.2024</t>
  </si>
  <si>
    <t>12,91M</t>
  </si>
  <si>
    <t>25.10.2024</t>
  </si>
  <si>
    <t>14,68M</t>
  </si>
  <si>
    <t>24.10.2024</t>
  </si>
  <si>
    <t>23.10.2024</t>
  </si>
  <si>
    <t>18,72M</t>
  </si>
  <si>
    <t>22.10.2024</t>
  </si>
  <si>
    <t>14,96M</t>
  </si>
  <si>
    <t>21.10.2024</t>
  </si>
  <si>
    <t>18.10.2024</t>
  </si>
  <si>
    <t>17,68M</t>
  </si>
  <si>
    <t>17.10.2024</t>
  </si>
  <si>
    <t>18,38M</t>
  </si>
  <si>
    <t>16.10.2024</t>
  </si>
  <si>
    <t>32,38M</t>
  </si>
  <si>
    <t>15.10.2024</t>
  </si>
  <si>
    <t>14.10.2024</t>
  </si>
  <si>
    <t>11,43M</t>
  </si>
  <si>
    <t>11.10.2024</t>
  </si>
  <si>
    <t>10.10.2024</t>
  </si>
  <si>
    <t>9,38M</t>
  </si>
  <si>
    <t>09.10.2024</t>
  </si>
  <si>
    <t>10,59M</t>
  </si>
  <si>
    <t>08.10.2024</t>
  </si>
  <si>
    <t>12,37M</t>
  </si>
  <si>
    <t>07.10.2024</t>
  </si>
  <si>
    <t>10,94M</t>
  </si>
  <si>
    <t>04.10.2024</t>
  </si>
  <si>
    <t>11,73M</t>
  </si>
  <si>
    <t>03.10.2024</t>
  </si>
  <si>
    <t>11,03M</t>
  </si>
  <si>
    <t>02.10.2024</t>
  </si>
  <si>
    <t>11,07M</t>
  </si>
  <si>
    <t>01.10.2024</t>
  </si>
  <si>
    <t>16,62M</t>
  </si>
  <si>
    <t>30.09.2024</t>
  </si>
  <si>
    <t>27.09.2024</t>
  </si>
  <si>
    <t>13,87M</t>
  </si>
  <si>
    <t>26.09.2024</t>
  </si>
  <si>
    <t>18,37M</t>
  </si>
  <si>
    <t>25.09.2024</t>
  </si>
  <si>
    <t>22,42M</t>
  </si>
  <si>
    <t>24.09.2024</t>
  </si>
  <si>
    <t>26,48M</t>
  </si>
  <si>
    <t>23.09.2024</t>
  </si>
  <si>
    <t>18,34M</t>
  </si>
  <si>
    <t>20.09.2024</t>
  </si>
  <si>
    <t>44,10M</t>
  </si>
  <si>
    <t>19.09.2024</t>
  </si>
  <si>
    <t>16,27M</t>
  </si>
  <si>
    <t>18.09.2024</t>
  </si>
  <si>
    <t>17.09.2024</t>
  </si>
  <si>
    <t>13,23M</t>
  </si>
  <si>
    <t>16.09.2024</t>
  </si>
  <si>
    <t>13.09.2024</t>
  </si>
  <si>
    <t>10,17M</t>
  </si>
  <si>
    <t>12.09.2024</t>
  </si>
  <si>
    <t>13,24M</t>
  </si>
  <si>
    <t>11.09.2024</t>
  </si>
  <si>
    <t>15,11M</t>
  </si>
  <si>
    <t>10.09.2024</t>
  </si>
  <si>
    <t>09.09.2024</t>
  </si>
  <si>
    <t>18,68M</t>
  </si>
  <si>
    <t>06.09.2024</t>
  </si>
  <si>
    <t>21,04M</t>
  </si>
  <si>
    <t>05.09.2024</t>
  </si>
  <si>
    <t>16,31M</t>
  </si>
  <si>
    <t>04.09.2024</t>
  </si>
  <si>
    <t>16,41M</t>
  </si>
  <si>
    <t>03.09.2024</t>
  </si>
  <si>
    <t>14,92M</t>
  </si>
  <si>
    <t>30.08.2024</t>
  </si>
  <si>
    <t>15,62M</t>
  </si>
  <si>
    <t>29.08.2024</t>
  </si>
  <si>
    <t>16,32M</t>
  </si>
  <si>
    <t>28.08.2024</t>
  </si>
  <si>
    <t>14,57M</t>
  </si>
  <si>
    <t>27.08.2024</t>
  </si>
  <si>
    <t>10,24M</t>
  </si>
  <si>
    <t>26.08.2024</t>
  </si>
  <si>
    <t>12,02M</t>
  </si>
  <si>
    <t>23.08.2024</t>
  </si>
  <si>
    <t>22.08.2024</t>
  </si>
  <si>
    <t>19,14M</t>
  </si>
  <si>
    <t>21.08.2024</t>
  </si>
  <si>
    <t>20.08.2024</t>
  </si>
  <si>
    <t>18,70M</t>
  </si>
  <si>
    <t>19.08.2024</t>
  </si>
  <si>
    <t>16,44M</t>
  </si>
  <si>
    <t>16.08.2024</t>
  </si>
  <si>
    <t>15.08.2024</t>
  </si>
  <si>
    <t>45,98M</t>
  </si>
  <si>
    <t>14.08.2024</t>
  </si>
  <si>
    <t>30,68M</t>
  </si>
  <si>
    <t>13.08.2024</t>
  </si>
  <si>
    <t>20,98M</t>
  </si>
  <si>
    <t>12.08.2024</t>
  </si>
  <si>
    <t>20,29M</t>
  </si>
  <si>
    <t>09.08.2024</t>
  </si>
  <si>
    <t>21,22M</t>
  </si>
  <si>
    <t>08.08.2024</t>
  </si>
  <si>
    <t>07.08.2024</t>
  </si>
  <si>
    <t>18,30M</t>
  </si>
  <si>
    <t>06.08.2024</t>
  </si>
  <si>
    <t>20,52M</t>
  </si>
  <si>
    <t>05.08.2024</t>
  </si>
  <si>
    <t>29,67M</t>
  </si>
  <si>
    <t>02.08.2024</t>
  </si>
  <si>
    <t>01.08.2024</t>
  </si>
  <si>
    <t>18,84M</t>
  </si>
  <si>
    <t>31.07.2024</t>
  </si>
  <si>
    <t>19,95M</t>
  </si>
  <si>
    <t>30.07.2024</t>
  </si>
  <si>
    <t>20,17M</t>
  </si>
  <si>
    <t>29.07.2024</t>
  </si>
  <si>
    <t>11,48M</t>
  </si>
  <si>
    <t>26.07.2024</t>
  </si>
  <si>
    <t>25.07.2024</t>
  </si>
  <si>
    <t>20,63M</t>
  </si>
  <si>
    <t>24.07.2024</t>
  </si>
  <si>
    <t>25,32M</t>
  </si>
  <si>
    <t>23.07.2024</t>
  </si>
  <si>
    <t>16,37M</t>
  </si>
  <si>
    <t>22.07.2024</t>
  </si>
  <si>
    <t>19.07.2024</t>
  </si>
  <si>
    <t>18,29M</t>
  </si>
  <si>
    <t>18.07.2024</t>
  </si>
  <si>
    <t>18,46M</t>
  </si>
  <si>
    <t>17.07.2024</t>
  </si>
  <si>
    <t>26,64M</t>
  </si>
  <si>
    <t>16.07.2024</t>
  </si>
  <si>
    <t>17,04M</t>
  </si>
  <si>
    <t>15.07.2024</t>
  </si>
  <si>
    <t>15,93M</t>
  </si>
  <si>
    <t>12.07.2024</t>
  </si>
  <si>
    <t>11.07.2024</t>
  </si>
  <si>
    <t>19,75M</t>
  </si>
  <si>
    <t>10.07.2024</t>
  </si>
  <si>
    <t>18,74M</t>
  </si>
  <si>
    <t>09.07.2024</t>
  </si>
  <si>
    <t>17,35M</t>
  </si>
  <si>
    <t>08.07.2024</t>
  </si>
  <si>
    <t>19,32M</t>
  </si>
  <si>
    <t>05.07.2024</t>
  </si>
  <si>
    <t>03.07.2024</t>
  </si>
  <si>
    <t>8,12M</t>
  </si>
  <si>
    <t>02.07.2024</t>
  </si>
  <si>
    <t>19,79M</t>
  </si>
  <si>
    <t>01.07.2024</t>
  </si>
  <si>
    <t>17,78M</t>
  </si>
  <si>
    <t>28.06.2024</t>
  </si>
  <si>
    <t>23,92M</t>
  </si>
  <si>
    <t>27.06.2024</t>
  </si>
  <si>
    <t>16,54M</t>
  </si>
  <si>
    <t>26.06.2024</t>
  </si>
  <si>
    <t>25.06.2024</t>
  </si>
  <si>
    <t>17,79M</t>
  </si>
  <si>
    <t>24.06.2024</t>
  </si>
  <si>
    <t>21.06.2024</t>
  </si>
  <si>
    <t>65,58M</t>
  </si>
  <si>
    <t>20.06.2024</t>
  </si>
  <si>
    <t>25,61M</t>
  </si>
  <si>
    <t>18.06.2024</t>
  </si>
  <si>
    <t>17,63M</t>
  </si>
  <si>
    <t>17.06.2024</t>
  </si>
  <si>
    <t>16,38M</t>
  </si>
  <si>
    <t>14.06.2024</t>
  </si>
  <si>
    <t>15,27M</t>
  </si>
  <si>
    <t>13.06.2024</t>
  </si>
  <si>
    <t>12.06.2024</t>
  </si>
  <si>
    <t>16,80M</t>
  </si>
  <si>
    <t>11.06.2024</t>
  </si>
  <si>
    <t>10.06.2024</t>
  </si>
  <si>
    <t>13,40M</t>
  </si>
  <si>
    <t>07.06.2024</t>
  </si>
  <si>
    <t>15,73M</t>
  </si>
  <si>
    <t>06.06.2024</t>
  </si>
  <si>
    <t>15,46M</t>
  </si>
  <si>
    <t>05.06.2024</t>
  </si>
  <si>
    <t>28,75M</t>
  </si>
  <si>
    <t>04.06.2024</t>
  </si>
  <si>
    <t>23,33M</t>
  </si>
  <si>
    <t>03.06.2024</t>
  </si>
  <si>
    <t>23,29M</t>
  </si>
  <si>
    <t>31.05.2024</t>
  </si>
  <si>
    <t>39,27M</t>
  </si>
  <si>
    <t>30.05.2024</t>
  </si>
  <si>
    <t>29.05.2024</t>
  </si>
  <si>
    <t>16,00M</t>
  </si>
  <si>
    <t>28.05.2024</t>
  </si>
  <si>
    <t>18,18M</t>
  </si>
  <si>
    <t>24.05.2024</t>
  </si>
  <si>
    <t>11,94M</t>
  </si>
  <si>
    <t>23.05.2024</t>
  </si>
  <si>
    <t>22.05.2024</t>
  </si>
  <si>
    <t>19,94M</t>
  </si>
  <si>
    <t>21.05.2024</t>
  </si>
  <si>
    <t>25,17M</t>
  </si>
  <si>
    <t>20.05.2024</t>
  </si>
  <si>
    <t>22,04M</t>
  </si>
  <si>
    <t>17.05.2024</t>
  </si>
  <si>
    <t>16.05.2024</t>
  </si>
  <si>
    <t>47,83M</t>
  </si>
  <si>
    <t>15.05.2024</t>
  </si>
  <si>
    <t>37,34M</t>
  </si>
  <si>
    <t>14.05.2024</t>
  </si>
  <si>
    <t>13.05.2024</t>
  </si>
  <si>
    <t>15,15M</t>
  </si>
  <si>
    <t>10.05.2024</t>
  </si>
  <si>
    <t>12,10M</t>
  </si>
  <si>
    <t>09.05.2024</t>
  </si>
  <si>
    <t>12,45M</t>
  </si>
  <si>
    <t>08.05.2024</t>
  </si>
  <si>
    <t>15,13M</t>
  </si>
  <si>
    <t>07.05.2024</t>
  </si>
  <si>
    <t>14,31M</t>
  </si>
  <si>
    <t>06.05.2024</t>
  </si>
  <si>
    <t>03.05.2024</t>
  </si>
  <si>
    <t>02.05.2024</t>
  </si>
  <si>
    <t>15,44M</t>
  </si>
  <si>
    <t>01.05.2024</t>
  </si>
  <si>
    <t>18,27M</t>
  </si>
  <si>
    <t>30.04.2024</t>
  </si>
  <si>
    <t>29.04.2024</t>
  </si>
  <si>
    <t>11,60M</t>
  </si>
  <si>
    <t>26.04.2024</t>
  </si>
  <si>
    <t>14,66M</t>
  </si>
  <si>
    <t>25.04.2024</t>
  </si>
  <si>
    <t>18,79M</t>
  </si>
  <si>
    <t>24.04.2024</t>
  </si>
  <si>
    <t>14,83M</t>
  </si>
  <si>
    <t>23.04.2024</t>
  </si>
  <si>
    <t>22.04.2024</t>
  </si>
  <si>
    <t>20,14M</t>
  </si>
  <si>
    <t>19.04.2024</t>
  </si>
  <si>
    <t>18.04.2024</t>
  </si>
  <si>
    <t>17.04.2024</t>
  </si>
  <si>
    <t>14,41M</t>
  </si>
  <si>
    <t>16.04.2024</t>
  </si>
  <si>
    <t>14,23M</t>
  </si>
  <si>
    <t>15.04.2024</t>
  </si>
  <si>
    <t>20,31M</t>
  </si>
  <si>
    <t>12.04.2024</t>
  </si>
  <si>
    <t>11.04.2024</t>
  </si>
  <si>
    <t>15,70M</t>
  </si>
  <si>
    <t>10.04.2024</t>
  </si>
  <si>
    <t>20,03M</t>
  </si>
  <si>
    <t>09.04.2024</t>
  </si>
  <si>
    <t>26,70M</t>
  </si>
  <si>
    <t>08.04.2024</t>
  </si>
  <si>
    <t>15,38M</t>
  </si>
  <si>
    <t>05.04.2024</t>
  </si>
  <si>
    <t>18,66M</t>
  </si>
  <si>
    <t>04.04.2024</t>
  </si>
  <si>
    <t>17,37M</t>
  </si>
  <si>
    <t>03.04.2024</t>
  </si>
  <si>
    <t>22,21M</t>
  </si>
  <si>
    <t>02.04.2024</t>
  </si>
  <si>
    <t>01.04.2024</t>
  </si>
  <si>
    <t>15,14M</t>
  </si>
  <si>
    <t>28.03.2024</t>
  </si>
  <si>
    <t>18,14M</t>
  </si>
  <si>
    <t>27.03.2024</t>
  </si>
  <si>
    <t>26.03.2024</t>
  </si>
  <si>
    <t>13,84M</t>
  </si>
  <si>
    <t>25.03.2024</t>
  </si>
  <si>
    <t>16,19M</t>
  </si>
  <si>
    <t>22.03.2024</t>
  </si>
  <si>
    <t>15,02M</t>
  </si>
  <si>
    <t>21.03.2024</t>
  </si>
  <si>
    <t>26,10M</t>
  </si>
  <si>
    <t>20.03.2024</t>
  </si>
  <si>
    <t>18,55M</t>
  </si>
  <si>
    <t>19.03.2024</t>
  </si>
  <si>
    <t>19,60M</t>
  </si>
  <si>
    <t>18.03.2024</t>
  </si>
  <si>
    <t>17,41M</t>
  </si>
  <si>
    <t>15.03.2024</t>
  </si>
  <si>
    <t>57,05M</t>
  </si>
  <si>
    <t>14.03.2024</t>
  </si>
  <si>
    <t>17,24M</t>
  </si>
  <si>
    <t>13.03.2024</t>
  </si>
  <si>
    <t>12.03.2024</t>
  </si>
  <si>
    <t>17,59M</t>
  </si>
  <si>
    <t>11.03.2024</t>
  </si>
  <si>
    <t>17,72M</t>
  </si>
  <si>
    <t>08.03.2024</t>
  </si>
  <si>
    <t>07.03.2024</t>
  </si>
  <si>
    <t>06.03.2024</t>
  </si>
  <si>
    <t>05.03.2024</t>
  </si>
  <si>
    <t>04.03.2024</t>
  </si>
  <si>
    <t>25,21M</t>
  </si>
  <si>
    <t>01.03.2024</t>
  </si>
  <si>
    <t>18,51M</t>
  </si>
  <si>
    <t>29.02.2024</t>
  </si>
  <si>
    <t>22,96M</t>
  </si>
  <si>
    <t>28.02.2024</t>
  </si>
  <si>
    <t>14,64M</t>
  </si>
  <si>
    <t>27.02.2024</t>
  </si>
  <si>
    <t>12,52M</t>
  </si>
  <si>
    <t>26.02.2024</t>
  </si>
  <si>
    <t>23.02.2024</t>
  </si>
  <si>
    <t>13,14M</t>
  </si>
  <si>
    <t>22.02.2024</t>
  </si>
  <si>
    <t>21.02.2024</t>
  </si>
  <si>
    <t>20.02.2024</t>
  </si>
  <si>
    <t>26,40M</t>
  </si>
  <si>
    <t>16.02.2024</t>
  </si>
  <si>
    <t>15.02.2024</t>
  </si>
  <si>
    <t>42,77M</t>
  </si>
  <si>
    <t>14.02.2024</t>
  </si>
  <si>
    <t>31,18M</t>
  </si>
  <si>
    <t>13.02.2024</t>
  </si>
  <si>
    <t>23,63M</t>
  </si>
  <si>
    <t>12.02.2024</t>
  </si>
  <si>
    <t>19,05M</t>
  </si>
  <si>
    <t>09.02.2024</t>
  </si>
  <si>
    <t>24,08M</t>
  </si>
  <si>
    <t>08.02.2024</t>
  </si>
  <si>
    <t>07.02.2024</t>
  </si>
  <si>
    <t>16,79M</t>
  </si>
  <si>
    <t>06.02.2024</t>
  </si>
  <si>
    <t>19,27M</t>
  </si>
  <si>
    <t>05.02.2024</t>
  </si>
  <si>
    <t>02.02.2024</t>
  </si>
  <si>
    <t>20,53M</t>
  </si>
  <si>
    <t>01.02.2024</t>
  </si>
  <si>
    <t>20,64M</t>
  </si>
  <si>
    <t>31.01.2024</t>
  </si>
  <si>
    <t>29,31M</t>
  </si>
  <si>
    <t>30.01.2024</t>
  </si>
  <si>
    <t>29.01.2024</t>
  </si>
  <si>
    <t>13,49M</t>
  </si>
  <si>
    <t>26.01.2024</t>
  </si>
  <si>
    <t>13,16M</t>
  </si>
  <si>
    <t>25.01.2024</t>
  </si>
  <si>
    <t>24.01.2024</t>
  </si>
  <si>
    <t>19,46M</t>
  </si>
  <si>
    <t>23.01.2024</t>
  </si>
  <si>
    <t>15,04M</t>
  </si>
  <si>
    <t>22.01.2024</t>
  </si>
  <si>
    <t>20,30M</t>
  </si>
  <si>
    <t>19.01.2024</t>
  </si>
  <si>
    <t>23,02M</t>
  </si>
  <si>
    <t>18.01.2024</t>
  </si>
  <si>
    <t>18,49M</t>
  </si>
  <si>
    <t>17.01.2024</t>
  </si>
  <si>
    <t>16.01.2024</t>
  </si>
  <si>
    <t>12.01.2024</t>
  </si>
  <si>
    <t>11.01.2024</t>
  </si>
  <si>
    <t>10.01.2024</t>
  </si>
  <si>
    <t>15,17M</t>
  </si>
  <si>
    <t>09.01.2024</t>
  </si>
  <si>
    <t>20,49M</t>
  </si>
  <si>
    <t>08.01.2024</t>
  </si>
  <si>
    <t>18,07M</t>
  </si>
  <si>
    <t>05.01.2024</t>
  </si>
  <si>
    <t>13,99M</t>
  </si>
  <si>
    <t>04.01.2024</t>
  </si>
  <si>
    <t>18,13M</t>
  </si>
  <si>
    <t>03.01.2024</t>
  </si>
  <si>
    <t>02.01.2024</t>
  </si>
  <si>
    <t>20,24M</t>
  </si>
  <si>
    <t>29.12.2023</t>
  </si>
  <si>
    <t>12,49M</t>
  </si>
  <si>
    <t>28.12.2023</t>
  </si>
  <si>
    <t>8,55M</t>
  </si>
  <si>
    <t>27.12.2023</t>
  </si>
  <si>
    <t>10,41M</t>
  </si>
  <si>
    <t>26.12.2023</t>
  </si>
  <si>
    <t>9,72M</t>
  </si>
  <si>
    <t>22.12.2023</t>
  </si>
  <si>
    <t>12,90M</t>
  </si>
  <si>
    <t>21.12.2023</t>
  </si>
  <si>
    <t>18,77M</t>
  </si>
  <si>
    <t>20.12.2023</t>
  </si>
  <si>
    <t>19.12.2023</t>
  </si>
  <si>
    <t>18.12.2023</t>
  </si>
  <si>
    <t>20,45M</t>
  </si>
  <si>
    <t>15.12.2023</t>
  </si>
  <si>
    <t>58,86M</t>
  </si>
  <si>
    <t>14.12.2023</t>
  </si>
  <si>
    <t>28,42M</t>
  </si>
  <si>
    <t>13.12.2023</t>
  </si>
  <si>
    <t>18,69M</t>
  </si>
  <si>
    <t>12.12.2023</t>
  </si>
  <si>
    <t>18,71M</t>
  </si>
  <si>
    <t>11.12.2023</t>
  </si>
  <si>
    <t>25,62M</t>
  </si>
  <si>
    <t>08.12.2023</t>
  </si>
  <si>
    <t>16,04M</t>
  </si>
  <si>
    <t>07.12.2023</t>
  </si>
  <si>
    <t>20,48M</t>
  </si>
  <si>
    <t>06.12.2023</t>
  </si>
  <si>
    <t>19,54M</t>
  </si>
  <si>
    <t>05.12.2023</t>
  </si>
  <si>
    <t>04.12.2023</t>
  </si>
  <si>
    <t>01.12.2023</t>
  </si>
  <si>
    <t>30.11.2023</t>
  </si>
  <si>
    <t>37,17M</t>
  </si>
  <si>
    <t>29.11.2023</t>
  </si>
  <si>
    <t>28.11.2023</t>
  </si>
  <si>
    <t>16,36M</t>
  </si>
  <si>
    <t>27.11.2023</t>
  </si>
  <si>
    <t>24.11.2023</t>
  </si>
  <si>
    <t>8,21M</t>
  </si>
  <si>
    <t>22.11.2023</t>
  </si>
  <si>
    <t>17,31M</t>
  </si>
  <si>
    <t>21.11.2023</t>
  </si>
  <si>
    <t>21,51M</t>
  </si>
  <si>
    <t>20.11.2023</t>
  </si>
  <si>
    <t>27,43M</t>
  </si>
  <si>
    <t>17.11.2023</t>
  </si>
  <si>
    <t>32,34M</t>
  </si>
  <si>
    <t>16.11.2023</t>
  </si>
  <si>
    <t>79,06M</t>
  </si>
  <si>
    <t>15.11.2023</t>
  </si>
  <si>
    <t>32,19M</t>
  </si>
  <si>
    <t>14.11.2023</t>
  </si>
  <si>
    <t>18,33M</t>
  </si>
  <si>
    <t>13.11.2023</t>
  </si>
  <si>
    <t>10.11.2023</t>
  </si>
  <si>
    <t>09.11.2023</t>
  </si>
  <si>
    <t>08.11.2023</t>
  </si>
  <si>
    <t>13,63M</t>
  </si>
  <si>
    <t>07.11.2023</t>
  </si>
  <si>
    <t>06.11.2023</t>
  </si>
  <si>
    <t>03.11.2023</t>
  </si>
  <si>
    <t>02.11.2023</t>
  </si>
  <si>
    <t>17,46M</t>
  </si>
  <si>
    <t>01.11.2023</t>
  </si>
  <si>
    <t>14,30M</t>
  </si>
  <si>
    <t>31.10.2023</t>
  </si>
  <si>
    <t>13,51M</t>
  </si>
  <si>
    <t>30.10.2023</t>
  </si>
  <si>
    <t>13,32M</t>
  </si>
  <si>
    <t>27.10.2023</t>
  </si>
  <si>
    <t>13,33M</t>
  </si>
  <si>
    <t>26.10.2023</t>
  </si>
  <si>
    <t>25.10.2023</t>
  </si>
  <si>
    <t>14,38M</t>
  </si>
  <si>
    <t>24.10.2023</t>
  </si>
  <si>
    <t>14,82M</t>
  </si>
  <si>
    <t>23.10.2023</t>
  </si>
  <si>
    <t>20.10.2023</t>
  </si>
  <si>
    <t>23,89M</t>
  </si>
  <si>
    <t>19.10.2023</t>
  </si>
  <si>
    <t>18.10.2023</t>
  </si>
  <si>
    <t>13,09M</t>
  </si>
  <si>
    <t>17.10.2023</t>
  </si>
  <si>
    <t>17,11M</t>
  </si>
  <si>
    <t>16.10.2023</t>
  </si>
  <si>
    <t>11,74M</t>
  </si>
  <si>
    <t>13.10.2023</t>
  </si>
  <si>
    <t>12.10.2023</t>
  </si>
  <si>
    <t>11,85M</t>
  </si>
  <si>
    <t>11.10.2023</t>
  </si>
  <si>
    <t>12,66M</t>
  </si>
  <si>
    <t>10.10.2023</t>
  </si>
  <si>
    <t>13,11M</t>
  </si>
  <si>
    <t>09.10.2023</t>
  </si>
  <si>
    <t>06.10.2023</t>
  </si>
  <si>
    <t>15,67M</t>
  </si>
  <si>
    <t>05.10.2023</t>
  </si>
  <si>
    <t>04.10.2023</t>
  </si>
  <si>
    <t>17,01M</t>
  </si>
  <si>
    <t>03.10.2023</t>
  </si>
  <si>
    <t>02.10.2023</t>
  </si>
  <si>
    <t>13,93M</t>
  </si>
  <si>
    <t>29.09.2023</t>
  </si>
  <si>
    <t>28.09.2023</t>
  </si>
  <si>
    <t>17,20M</t>
  </si>
  <si>
    <t>27.09.2023</t>
  </si>
  <si>
    <t>15,85M</t>
  </si>
  <si>
    <t>26.09.2023</t>
  </si>
  <si>
    <t>25.09.2023</t>
  </si>
  <si>
    <t>14,22M</t>
  </si>
  <si>
    <t>22.09.2023</t>
  </si>
  <si>
    <t>17,87M</t>
  </si>
  <si>
    <t>21.09.2023</t>
  </si>
  <si>
    <t>37,44M</t>
  </si>
  <si>
    <t>20.09.2023</t>
  </si>
  <si>
    <t>12,22M</t>
  </si>
  <si>
    <t>19.09.2023</t>
  </si>
  <si>
    <t>10,75M</t>
  </si>
  <si>
    <t>18.09.2023</t>
  </si>
  <si>
    <t>11,82M</t>
  </si>
  <si>
    <t>15.09.2023</t>
  </si>
  <si>
    <t>44,03M</t>
  </si>
  <si>
    <t>14.09.2023</t>
  </si>
  <si>
    <t>13.09.2023</t>
  </si>
  <si>
    <t>12.09.2023</t>
  </si>
  <si>
    <t>13,92M</t>
  </si>
  <si>
    <t>11.09.2023</t>
  </si>
  <si>
    <t>15,84M</t>
  </si>
  <si>
    <t>08.09.2023</t>
  </si>
  <si>
    <t>07.09.2023</t>
  </si>
  <si>
    <t>06.09.2023</t>
  </si>
  <si>
    <t>11,38M</t>
  </si>
  <si>
    <t>05.09.2023</t>
  </si>
  <si>
    <t>01.09.2023</t>
  </si>
  <si>
    <t>31.08.2023</t>
  </si>
  <si>
    <t>22,62M</t>
  </si>
  <si>
    <t>30.08.2023</t>
  </si>
  <si>
    <t>12,15M</t>
  </si>
  <si>
    <t>29.08.2023</t>
  </si>
  <si>
    <t>28.08.2023</t>
  </si>
  <si>
    <t>15,19M</t>
  </si>
  <si>
    <t>25.08.2023</t>
  </si>
  <si>
    <t>24.08.2023</t>
  </si>
  <si>
    <t>23.08.2023</t>
  </si>
  <si>
    <t>18,25M</t>
  </si>
  <si>
    <t>22.08.2023</t>
  </si>
  <si>
    <t>21.08.2023</t>
  </si>
  <si>
    <t>18,28M</t>
  </si>
  <si>
    <t>18.08.2023</t>
  </si>
  <si>
    <t>28,84M</t>
  </si>
  <si>
    <t>17.08.2023</t>
  </si>
  <si>
    <t>45,28M</t>
  </si>
  <si>
    <t>16.08.2023</t>
  </si>
  <si>
    <t>26,47M</t>
  </si>
  <si>
    <t>15.08.2023</t>
  </si>
  <si>
    <t>14.08.2023</t>
  </si>
  <si>
    <t>20,71M</t>
  </si>
  <si>
    <t>11.08.2023</t>
  </si>
  <si>
    <t>14,34M</t>
  </si>
  <si>
    <t>10.08.2023</t>
  </si>
  <si>
    <t>09.08.2023</t>
  </si>
  <si>
    <t>08.08.2023</t>
  </si>
  <si>
    <t>07.08.2023</t>
  </si>
  <si>
    <t>11,33M</t>
  </si>
  <si>
    <t>04.08.2023</t>
  </si>
  <si>
    <t>12,27M</t>
  </si>
  <si>
    <t>03.08.2023</t>
  </si>
  <si>
    <t>02.08.2023</t>
  </si>
  <si>
    <t>17,69M</t>
  </si>
  <si>
    <t>01.08.2023</t>
  </si>
  <si>
    <t>15,29M</t>
  </si>
  <si>
    <t>31.07.2023</t>
  </si>
  <si>
    <t>14,20M</t>
  </si>
  <si>
    <t>28.07.2023</t>
  </si>
  <si>
    <t>27,49M</t>
  </si>
  <si>
    <t>27.07.2023</t>
  </si>
  <si>
    <t>15,80M</t>
  </si>
  <si>
    <t>26.07.2023</t>
  </si>
  <si>
    <t>13,56M</t>
  </si>
  <si>
    <t>25.07.2023</t>
  </si>
  <si>
    <t>24.07.2023</t>
  </si>
  <si>
    <t>18,39M</t>
  </si>
  <si>
    <t>21.07.2023</t>
  </si>
  <si>
    <t>51,28M</t>
  </si>
  <si>
    <t>20.07.2023</t>
  </si>
  <si>
    <t>19.07.2023</t>
  </si>
  <si>
    <t>21,74M</t>
  </si>
  <si>
    <t>18.07.2023</t>
  </si>
  <si>
    <t>16,43M</t>
  </si>
  <si>
    <t>17.07.2023</t>
  </si>
  <si>
    <t>14.07.2023</t>
  </si>
  <si>
    <t>19,57M</t>
  </si>
  <si>
    <t>13.07.2023</t>
  </si>
  <si>
    <t>12.07.2023</t>
  </si>
  <si>
    <t>26,33M</t>
  </si>
  <si>
    <t>11.07.2023</t>
  </si>
  <si>
    <t>10.07.2023</t>
  </si>
  <si>
    <t>07.07.2023</t>
  </si>
  <si>
    <t>06.07.2023</t>
  </si>
  <si>
    <t>05.07.2023</t>
  </si>
  <si>
    <t>03.07.2023</t>
  </si>
  <si>
    <t>7,34M</t>
  </si>
  <si>
    <t>30.06.2023</t>
  </si>
  <si>
    <t>18,19M</t>
  </si>
  <si>
    <t>29.06.2023</t>
  </si>
  <si>
    <t>14,25M</t>
  </si>
  <si>
    <t>28.06.2023</t>
  </si>
  <si>
    <t>11,39M</t>
  </si>
  <si>
    <t>27.06.2023</t>
  </si>
  <si>
    <t>12,98M</t>
  </si>
  <si>
    <t>26.06.2023</t>
  </si>
  <si>
    <t>13,03M</t>
  </si>
  <si>
    <t>23.06.2023</t>
  </si>
  <si>
    <t>22.06.2023</t>
  </si>
  <si>
    <t>21.06.2023</t>
  </si>
  <si>
    <t>16,94M</t>
  </si>
  <si>
    <t>20.06.2023</t>
  </si>
  <si>
    <t>16.06.2023</t>
  </si>
  <si>
    <t>37,13M</t>
  </si>
  <si>
    <t>15.06.2023</t>
  </si>
  <si>
    <t>22,50M</t>
  </si>
  <si>
    <t>14.06.2023</t>
  </si>
  <si>
    <t>16,63M</t>
  </si>
  <si>
    <t>13.06.2023</t>
  </si>
  <si>
    <t>24,04M</t>
  </si>
  <si>
    <t>12.06.2023</t>
  </si>
  <si>
    <t>15,50M</t>
  </si>
  <si>
    <t>09.06.2023</t>
  </si>
  <si>
    <t>12,17M</t>
  </si>
  <si>
    <t>08.06.2023</t>
  </si>
  <si>
    <t>13,29M</t>
  </si>
  <si>
    <t>07.06.2023</t>
  </si>
  <si>
    <t>15,95M</t>
  </si>
  <si>
    <t>06.06.2023</t>
  </si>
  <si>
    <t>16,03M</t>
  </si>
  <si>
    <t>05.06.2023</t>
  </si>
  <si>
    <t>13,96M</t>
  </si>
  <si>
    <t>02.06.2023</t>
  </si>
  <si>
    <t>19,16M</t>
  </si>
  <si>
    <t>01.06.2023</t>
  </si>
  <si>
    <t>17,82M</t>
  </si>
  <si>
    <t>31.05.2023</t>
  </si>
  <si>
    <t>51,99M</t>
  </si>
  <si>
    <t>30.05.2023</t>
  </si>
  <si>
    <t>19,07M</t>
  </si>
  <si>
    <t>26.05.2023</t>
  </si>
  <si>
    <t>19,83M</t>
  </si>
  <si>
    <t>25.05.2023</t>
  </si>
  <si>
    <t>21,72M</t>
  </si>
  <si>
    <t>24.05.2023</t>
  </si>
  <si>
    <t>15,45M</t>
  </si>
  <si>
    <t>23.05.2023</t>
  </si>
  <si>
    <t>22.05.2023</t>
  </si>
  <si>
    <t>19.05.2023</t>
  </si>
  <si>
    <t>28,56M</t>
  </si>
  <si>
    <t>18.05.2023</t>
  </si>
  <si>
    <t>41,48M</t>
  </si>
  <si>
    <t>17.05.2023</t>
  </si>
  <si>
    <t>29,33M</t>
  </si>
  <si>
    <t>16.05.2023</t>
  </si>
  <si>
    <t>16,50M</t>
  </si>
  <si>
    <t>15.05.2023</t>
  </si>
  <si>
    <t>13,20M</t>
  </si>
  <si>
    <t>12.05.2023</t>
  </si>
  <si>
    <t>14,10M</t>
  </si>
  <si>
    <t>11.05.2023</t>
  </si>
  <si>
    <t>10.05.2023</t>
  </si>
  <si>
    <t>15,63M</t>
  </si>
  <si>
    <t>09.05.2023</t>
  </si>
  <si>
    <t>15,22M</t>
  </si>
  <si>
    <t>08.05.2023</t>
  </si>
  <si>
    <t>12,00M</t>
  </si>
  <si>
    <t>05.05.2023</t>
  </si>
  <si>
    <t>04.05.2023</t>
  </si>
  <si>
    <t>17,75M</t>
  </si>
  <si>
    <t>03.05.2023</t>
  </si>
  <si>
    <t>20,77M</t>
  </si>
  <si>
    <t>02.05.2023</t>
  </si>
  <si>
    <t>20,18M</t>
  </si>
  <si>
    <t>01.05.2023</t>
  </si>
  <si>
    <t>13,12M</t>
  </si>
  <si>
    <t>28.04.2023</t>
  </si>
  <si>
    <t>19,66M</t>
  </si>
  <si>
    <t>27.04.2023</t>
  </si>
  <si>
    <t>22,85M</t>
  </si>
  <si>
    <t>26.04.2023</t>
  </si>
  <si>
    <t>22,39M</t>
  </si>
  <si>
    <t>25.04.2023</t>
  </si>
  <si>
    <t>24.04.2023</t>
  </si>
  <si>
    <t>17,36M</t>
  </si>
  <si>
    <t>21.04.2023</t>
  </si>
  <si>
    <t>20,86M</t>
  </si>
  <si>
    <t>20.04.2023</t>
  </si>
  <si>
    <t>19.04.2023</t>
  </si>
  <si>
    <t>30,47M</t>
  </si>
  <si>
    <t>18.04.2023</t>
  </si>
  <si>
    <t>15,20M</t>
  </si>
  <si>
    <t>17.04.2023</t>
  </si>
  <si>
    <t>12,04M</t>
  </si>
  <si>
    <t>14.04.2023</t>
  </si>
  <si>
    <t>12,36M</t>
  </si>
  <si>
    <t>13.04.2023</t>
  </si>
  <si>
    <t>12.04.2023</t>
  </si>
  <si>
    <t>11.04.2023</t>
  </si>
  <si>
    <t>15,96M</t>
  </si>
  <si>
    <t>10.04.2023</t>
  </si>
  <si>
    <t>06.04.2023</t>
  </si>
  <si>
    <t>14,75M</t>
  </si>
  <si>
    <t>05.04.2023</t>
  </si>
  <si>
    <t>13,80M</t>
  </si>
  <si>
    <t>04.04.2023</t>
  </si>
  <si>
    <t>13,60M</t>
  </si>
  <si>
    <t>03.04.2023</t>
  </si>
  <si>
    <t>16,88M</t>
  </si>
  <si>
    <t>31.03.2023</t>
  </si>
  <si>
    <t>20,59M</t>
  </si>
  <si>
    <t>30.03.2023</t>
  </si>
  <si>
    <t>29.03.2023</t>
  </si>
  <si>
    <t>28.03.2023</t>
  </si>
  <si>
    <t>11,12M</t>
  </si>
  <si>
    <t>27.03.2023</t>
  </si>
  <si>
    <t>15,86M</t>
  </si>
  <si>
    <t>24.03.2023</t>
  </si>
  <si>
    <t>23.03.2023</t>
  </si>
  <si>
    <t>22.03.2023</t>
  </si>
  <si>
    <t>21,40M</t>
  </si>
  <si>
    <t>21.03.2023</t>
  </si>
  <si>
    <t>20.03.2023</t>
  </si>
  <si>
    <t>22,70M</t>
  </si>
  <si>
    <t>17.03.2023</t>
  </si>
  <si>
    <t>47,64M</t>
  </si>
  <si>
    <t>16.03.2023</t>
  </si>
  <si>
    <t>21,43M</t>
  </si>
  <si>
    <t>15.03.2023</t>
  </si>
  <si>
    <t>14.03.2023</t>
  </si>
  <si>
    <t>13.03.2023</t>
  </si>
  <si>
    <t>10.03.2023</t>
  </si>
  <si>
    <t>16,34M</t>
  </si>
  <si>
    <t>09.03.2023</t>
  </si>
  <si>
    <t>12,50M</t>
  </si>
  <si>
    <t>08.03.2023</t>
  </si>
  <si>
    <t>12,06M</t>
  </si>
  <si>
    <t>07.03.2023</t>
  </si>
  <si>
    <t>17,51M</t>
  </si>
  <si>
    <t>06.03.2023</t>
  </si>
  <si>
    <t>03.03.2023</t>
  </si>
  <si>
    <t>02.03.2023</t>
  </si>
  <si>
    <t>01.03.2023</t>
  </si>
  <si>
    <t>28.02.2023</t>
  </si>
  <si>
    <t>27.02.2023</t>
  </si>
  <si>
    <t>14,78M</t>
  </si>
  <si>
    <t>24.02.2023</t>
  </si>
  <si>
    <t>17,25M</t>
  </si>
  <si>
    <t>23.02.2023</t>
  </si>
  <si>
    <t>14,07M</t>
  </si>
  <si>
    <t>22.02.2023</t>
  </si>
  <si>
    <t>21.02.2023</t>
  </si>
  <si>
    <t>25,10M</t>
  </si>
  <si>
    <t>17.02.2023</t>
  </si>
  <si>
    <t>16.02.2023</t>
  </si>
  <si>
    <t>48,13M</t>
  </si>
  <si>
    <t>15.02.2023</t>
  </si>
  <si>
    <t>27,32M</t>
  </si>
  <si>
    <t>14.02.2023</t>
  </si>
  <si>
    <t>19,13M</t>
  </si>
  <si>
    <t>13.02.2023</t>
  </si>
  <si>
    <t>19,42M</t>
  </si>
  <si>
    <t>10.02.2023</t>
  </si>
  <si>
    <t>17,40M</t>
  </si>
  <si>
    <t>09.02.2023</t>
  </si>
  <si>
    <t>18,60M</t>
  </si>
  <si>
    <t>08.02.2023</t>
  </si>
  <si>
    <t>07.02.2023</t>
  </si>
  <si>
    <t>16,68M</t>
  </si>
  <si>
    <t>06.02.2023</t>
  </si>
  <si>
    <t>03.02.2023</t>
  </si>
  <si>
    <t>17,98M</t>
  </si>
  <si>
    <t>02.02.2023</t>
  </si>
  <si>
    <t>01.02.2023</t>
  </si>
  <si>
    <t>19,64M</t>
  </si>
  <si>
    <t>31.01.2023</t>
  </si>
  <si>
    <t>16,82M</t>
  </si>
  <si>
    <t>30.01.2023</t>
  </si>
  <si>
    <t>19,26M</t>
  </si>
  <si>
    <t>27.01.2023</t>
  </si>
  <si>
    <t>13,41M</t>
  </si>
  <si>
    <t>26.01.2023</t>
  </si>
  <si>
    <t>25.01.2023</t>
  </si>
  <si>
    <t>24.01.2023</t>
  </si>
  <si>
    <t>14,87M</t>
  </si>
  <si>
    <t>23.01.2023</t>
  </si>
  <si>
    <t>15,18M</t>
  </si>
  <si>
    <t>20.01.2023</t>
  </si>
  <si>
    <t>21,85M</t>
  </si>
  <si>
    <t>19.01.2023</t>
  </si>
  <si>
    <t>18.01.2023</t>
  </si>
  <si>
    <t>19,88M</t>
  </si>
  <si>
    <t>17.01.2023</t>
  </si>
  <si>
    <t>19,29M</t>
  </si>
  <si>
    <t>13.01.2023</t>
  </si>
  <si>
    <t>12,65M</t>
  </si>
  <si>
    <t>12.01.2023</t>
  </si>
  <si>
    <t>14,24M</t>
  </si>
  <si>
    <t>11.01.2023</t>
  </si>
  <si>
    <t>12,53M</t>
  </si>
  <si>
    <t>10.01.2023</t>
  </si>
  <si>
    <t>12,47M</t>
  </si>
  <si>
    <t>09.01.2023</t>
  </si>
  <si>
    <t>06.01.2023</t>
  </si>
  <si>
    <t>20,82M</t>
  </si>
  <si>
    <t>05.01.2023</t>
  </si>
  <si>
    <t>04.01.2023</t>
  </si>
  <si>
    <t>03.01.2023</t>
  </si>
  <si>
    <t>30.12.2022</t>
  </si>
  <si>
    <t>29.12.2022</t>
  </si>
  <si>
    <t>11,40M</t>
  </si>
  <si>
    <t>28.12.2022</t>
  </si>
  <si>
    <t>9,85M</t>
  </si>
  <si>
    <t>27.12.2022</t>
  </si>
  <si>
    <t>12,07M</t>
  </si>
  <si>
    <t>23.12.2022</t>
  </si>
  <si>
    <t>9,55M</t>
  </si>
  <si>
    <t>22.12.2022</t>
  </si>
  <si>
    <t>23,12M</t>
  </si>
  <si>
    <t>21.12.2022</t>
  </si>
  <si>
    <t>20.12.2022</t>
  </si>
  <si>
    <t>15,09M</t>
  </si>
  <si>
    <t>19.12.2022</t>
  </si>
  <si>
    <t>17,99M</t>
  </si>
  <si>
    <t>16.12.2022</t>
  </si>
  <si>
    <t>66,13M</t>
  </si>
  <si>
    <t>15.12.2022</t>
  </si>
  <si>
    <t>19,37M</t>
  </si>
  <si>
    <t>14.12.2022</t>
  </si>
  <si>
    <t>13.12.2022</t>
  </si>
  <si>
    <t>22,71M</t>
  </si>
  <si>
    <t>12.12.2022</t>
  </si>
  <si>
    <t>09.12.2022</t>
  </si>
  <si>
    <t>08.12.2022</t>
  </si>
  <si>
    <t>16,02M</t>
  </si>
  <si>
    <t>07.12.2022</t>
  </si>
  <si>
    <t>06.12.2022</t>
  </si>
  <si>
    <t>05.12.2022</t>
  </si>
  <si>
    <t>02.12.2022</t>
  </si>
  <si>
    <t>12,33M</t>
  </si>
  <si>
    <t>01.12.2022</t>
  </si>
  <si>
    <t>18,56M</t>
  </si>
  <si>
    <t>30.11.2022</t>
  </si>
  <si>
    <t>29,92M</t>
  </si>
  <si>
    <t>29.11.2022</t>
  </si>
  <si>
    <t>13,78M</t>
  </si>
  <si>
    <t>28.11.2022</t>
  </si>
  <si>
    <t>14,98M</t>
  </si>
  <si>
    <t>25.11.2022</t>
  </si>
  <si>
    <t>8,49M</t>
  </si>
  <si>
    <t>23.11.2022</t>
  </si>
  <si>
    <t>22.11.2022</t>
  </si>
  <si>
    <t>21.11.2022</t>
  </si>
  <si>
    <t>18.11.2022</t>
  </si>
  <si>
    <t>30,84M</t>
  </si>
  <si>
    <t>17.11.2022</t>
  </si>
  <si>
    <t>38,89M</t>
  </si>
  <si>
    <t>16.11.2022</t>
  </si>
  <si>
    <t>24,94M</t>
  </si>
  <si>
    <t>15.11.2022</t>
  </si>
  <si>
    <t>14.11.2022</t>
  </si>
  <si>
    <t>21,09M</t>
  </si>
  <si>
    <t>11.11.2022</t>
  </si>
  <si>
    <t>25,96M</t>
  </si>
  <si>
    <t>10.11.2022</t>
  </si>
  <si>
    <t>27,19M</t>
  </si>
  <si>
    <t>09.11.2022</t>
  </si>
  <si>
    <t>19,31M</t>
  </si>
  <si>
    <t>08.11.2022</t>
  </si>
  <si>
    <t>17,50M</t>
  </si>
  <si>
    <t>07.11.2022</t>
  </si>
  <si>
    <t>21,38M</t>
  </si>
  <si>
    <t>04.11.2022</t>
  </si>
  <si>
    <t>19,65M</t>
  </si>
  <si>
    <t>03.11.2022</t>
  </si>
  <si>
    <t>17,90M</t>
  </si>
  <si>
    <t>02.11.2022</t>
  </si>
  <si>
    <t>15,31M</t>
  </si>
  <si>
    <t>01.11.2022</t>
  </si>
  <si>
    <t>12,09M</t>
  </si>
  <si>
    <t>31.10.2022</t>
  </si>
  <si>
    <t>28.10.2022</t>
  </si>
  <si>
    <t>27.10.2022</t>
  </si>
  <si>
    <t>26.10.2022</t>
  </si>
  <si>
    <t>20,06M</t>
  </si>
  <si>
    <t>25.10.2022</t>
  </si>
  <si>
    <t>19,17M</t>
  </si>
  <si>
    <t>24.10.2022</t>
  </si>
  <si>
    <t>21.10.2022</t>
  </si>
  <si>
    <t>25,04M</t>
  </si>
  <si>
    <t>20.10.2022</t>
  </si>
  <si>
    <t>19.10.2022</t>
  </si>
  <si>
    <t>18.10.2022</t>
  </si>
  <si>
    <t>18,22M</t>
  </si>
  <si>
    <t>17.10.2022</t>
  </si>
  <si>
    <t>27,85M</t>
  </si>
  <si>
    <t>14.10.2022</t>
  </si>
  <si>
    <t>13.10.2022</t>
  </si>
  <si>
    <t>12.10.2022</t>
  </si>
  <si>
    <t>17,28M</t>
  </si>
  <si>
    <t>11.10.2022</t>
  </si>
  <si>
    <t>19,39M</t>
  </si>
  <si>
    <t>10.10.2022</t>
  </si>
  <si>
    <t>07.10.2022</t>
  </si>
  <si>
    <t>19,06M</t>
  </si>
  <si>
    <t>06.10.2022</t>
  </si>
  <si>
    <t>18,20M</t>
  </si>
  <si>
    <t>05.10.2022</t>
  </si>
  <si>
    <t>14,29M</t>
  </si>
  <si>
    <t>04.10.2022</t>
  </si>
  <si>
    <t>22,89M</t>
  </si>
  <si>
    <t>03.10.2022</t>
  </si>
  <si>
    <t>30.09.2022</t>
  </si>
  <si>
    <t>27,99M</t>
  </si>
  <si>
    <t>29.09.2022</t>
  </si>
  <si>
    <t>19,50M</t>
  </si>
  <si>
    <t>28.09.2022</t>
  </si>
  <si>
    <t>23,22M</t>
  </si>
  <si>
    <t>27.09.2022</t>
  </si>
  <si>
    <t>15,03M</t>
  </si>
  <si>
    <t>26.09.2022</t>
  </si>
  <si>
    <t>22,69M</t>
  </si>
  <si>
    <t>23.09.2022</t>
  </si>
  <si>
    <t>22.09.2022</t>
  </si>
  <si>
    <t>16,69M</t>
  </si>
  <si>
    <t>21.09.2022</t>
  </si>
  <si>
    <t>21,42M</t>
  </si>
  <si>
    <t>20.09.2022</t>
  </si>
  <si>
    <t>16,81M</t>
  </si>
  <si>
    <t>19.09.2022</t>
  </si>
  <si>
    <t>13,67M</t>
  </si>
  <si>
    <t>16.09.2022</t>
  </si>
  <si>
    <t>32,70M</t>
  </si>
  <si>
    <t>15.09.2022</t>
  </si>
  <si>
    <t>18,15M</t>
  </si>
  <si>
    <t>14.09.2022</t>
  </si>
  <si>
    <t>27,55M</t>
  </si>
  <si>
    <t>13.09.2022</t>
  </si>
  <si>
    <t>23,03M</t>
  </si>
  <si>
    <t>12.09.2022</t>
  </si>
  <si>
    <t>17,92M</t>
  </si>
  <si>
    <t>09.09.2022</t>
  </si>
  <si>
    <t>08.09.2022</t>
  </si>
  <si>
    <t>07.09.2022</t>
  </si>
  <si>
    <t>06.09.2022</t>
  </si>
  <si>
    <t>14,37M</t>
  </si>
  <si>
    <t>02.09.2022</t>
  </si>
  <si>
    <t>01.09.2022</t>
  </si>
  <si>
    <t>16,24M</t>
  </si>
  <si>
    <t>31.08.2022</t>
  </si>
  <si>
    <t>23,01M</t>
  </si>
  <si>
    <t>30.08.2022</t>
  </si>
  <si>
    <t>14,28M</t>
  </si>
  <si>
    <t>29.08.2022</t>
  </si>
  <si>
    <t>26.08.2022</t>
  </si>
  <si>
    <t>25.08.2022</t>
  </si>
  <si>
    <t>24.08.2022</t>
  </si>
  <si>
    <t>23.08.2022</t>
  </si>
  <si>
    <t>22.08.2022</t>
  </si>
  <si>
    <t>19.08.2022</t>
  </si>
  <si>
    <t>23,13M</t>
  </si>
  <si>
    <t>18.08.2022</t>
  </si>
  <si>
    <t>40,00M</t>
  </si>
  <si>
    <t>17.08.2022</t>
  </si>
  <si>
    <t>27,98M</t>
  </si>
  <si>
    <t>16.08.2022</t>
  </si>
  <si>
    <t>15.08.2022</t>
  </si>
  <si>
    <t>12.08.2022</t>
  </si>
  <si>
    <t>16,97M</t>
  </si>
  <si>
    <t>11.08.2022</t>
  </si>
  <si>
    <t>10.08.2022</t>
  </si>
  <si>
    <t>09.08.2022</t>
  </si>
  <si>
    <t>12,83M</t>
  </si>
  <si>
    <t>08.08.2022</t>
  </si>
  <si>
    <t>15,47M</t>
  </si>
  <si>
    <t>05.08.2022</t>
  </si>
  <si>
    <t>19,53M</t>
  </si>
  <si>
    <t>04.08.2022</t>
  </si>
  <si>
    <t>15,25M</t>
  </si>
  <si>
    <t>03.08.2022</t>
  </si>
  <si>
    <t>14,94M</t>
  </si>
  <si>
    <t>02.08.2022</t>
  </si>
  <si>
    <t>01.08.2022</t>
  </si>
  <si>
    <t>14,15M</t>
  </si>
  <si>
    <t>29.07.2022</t>
  </si>
  <si>
    <t>28.07.2022</t>
  </si>
  <si>
    <t>17,58M</t>
  </si>
  <si>
    <t>27.07.2022</t>
  </si>
  <si>
    <t>26.07.2022</t>
  </si>
  <si>
    <t>19,51M</t>
  </si>
  <si>
    <t>25.07.2022</t>
  </si>
  <si>
    <t>22.07.2022</t>
  </si>
  <si>
    <t>14,85M</t>
  </si>
  <si>
    <t>21.07.2022</t>
  </si>
  <si>
    <t>15,36M</t>
  </si>
  <si>
    <t>20.07.2022</t>
  </si>
  <si>
    <t>19.07.2022</t>
  </si>
  <si>
    <t>22,86M</t>
  </si>
  <si>
    <t>18.07.2022</t>
  </si>
  <si>
    <t>16,74M</t>
  </si>
  <si>
    <t>15.07.2022</t>
  </si>
  <si>
    <t>14.07.2022</t>
  </si>
  <si>
    <t>17,34M</t>
  </si>
  <si>
    <t>13.07.2022</t>
  </si>
  <si>
    <t>16,85M</t>
  </si>
  <si>
    <t>12.07.2022</t>
  </si>
  <si>
    <t>17,39M</t>
  </si>
  <si>
    <t>11.07.2022</t>
  </si>
  <si>
    <t>15,28M</t>
  </si>
  <si>
    <t>08.07.2022</t>
  </si>
  <si>
    <t>07.07.2022</t>
  </si>
  <si>
    <t>22,32M</t>
  </si>
  <si>
    <t>06.07.2022</t>
  </si>
  <si>
    <t>05.07.2022</t>
  </si>
  <si>
    <t>24,45M</t>
  </si>
  <si>
    <t>01.07.2022</t>
  </si>
  <si>
    <t>24,34M</t>
  </si>
  <si>
    <t>30.06.2022</t>
  </si>
  <si>
    <t>24,95M</t>
  </si>
  <si>
    <t>29.06.2022</t>
  </si>
  <si>
    <t>28.06.2022</t>
  </si>
  <si>
    <t>20,09M</t>
  </si>
  <si>
    <t>27.06.2022</t>
  </si>
  <si>
    <t>22,76M</t>
  </si>
  <si>
    <t>24.06.2022</t>
  </si>
  <si>
    <t>30,54M</t>
  </si>
  <si>
    <t>23.06.2022</t>
  </si>
  <si>
    <t>33,80M</t>
  </si>
  <si>
    <t>22.06.2022</t>
  </si>
  <si>
    <t>21.06.2022</t>
  </si>
  <si>
    <t>23,28M</t>
  </si>
  <si>
    <t>17.06.2022</t>
  </si>
  <si>
    <t>59,68M</t>
  </si>
  <si>
    <t>16.06.2022</t>
  </si>
  <si>
    <t>27,05M</t>
  </si>
  <si>
    <t>15.06.2022</t>
  </si>
  <si>
    <t>22,53M</t>
  </si>
  <si>
    <t>14.06.2022</t>
  </si>
  <si>
    <t>13.06.2022</t>
  </si>
  <si>
    <t>29,05M</t>
  </si>
  <si>
    <t>10.06.2022</t>
  </si>
  <si>
    <t>20,27M</t>
  </si>
  <si>
    <t>09.06.2022</t>
  </si>
  <si>
    <t>18,42M</t>
  </si>
  <si>
    <t>08.06.2022</t>
  </si>
  <si>
    <t>07.06.2022</t>
  </si>
  <si>
    <t>06.06.2022</t>
  </si>
  <si>
    <t>12,64M</t>
  </si>
  <si>
    <t>03.06.2022</t>
  </si>
  <si>
    <t>17,95M</t>
  </si>
  <si>
    <t>02.06.2022</t>
  </si>
  <si>
    <t>01.06.2022</t>
  </si>
  <si>
    <t>20,67M</t>
  </si>
  <si>
    <t>31.05.2022</t>
  </si>
  <si>
    <t>64,82M</t>
  </si>
  <si>
    <t>27.05.2022</t>
  </si>
  <si>
    <t>26.05.2022</t>
  </si>
  <si>
    <t>28,29M</t>
  </si>
  <si>
    <t>25.05.2022</t>
  </si>
  <si>
    <t>25,50M</t>
  </si>
  <si>
    <t>24.05.2022</t>
  </si>
  <si>
    <t>30,05M</t>
  </si>
  <si>
    <t>23.05.2022</t>
  </si>
  <si>
    <t>27,37M</t>
  </si>
  <si>
    <t>20.05.2022</t>
  </si>
  <si>
    <t>46,15M</t>
  </si>
  <si>
    <t>19.05.2022</t>
  </si>
  <si>
    <t>97,67M</t>
  </si>
  <si>
    <t>18.05.2022</t>
  </si>
  <si>
    <t>40,67M</t>
  </si>
  <si>
    <t>17.05.2022</t>
  </si>
  <si>
    <t>18,78M</t>
  </si>
  <si>
    <t>16.05.2022</t>
  </si>
  <si>
    <t>20,25M</t>
  </si>
  <si>
    <t>13.05.2022</t>
  </si>
  <si>
    <t>18,95M</t>
  </si>
  <si>
    <t>12.05.2022</t>
  </si>
  <si>
    <t>25,95M</t>
  </si>
  <si>
    <t>11.05.2022</t>
  </si>
  <si>
    <t>23,87M</t>
  </si>
  <si>
    <t>10.05.2022</t>
  </si>
  <si>
    <t>09.05.2022</t>
  </si>
  <si>
    <t>06.05.2022</t>
  </si>
  <si>
    <t>05.05.2022</t>
  </si>
  <si>
    <t>24,85M</t>
  </si>
  <si>
    <t>04.05.2022</t>
  </si>
  <si>
    <t>03.05.2022</t>
  </si>
  <si>
    <t>15,83M</t>
  </si>
  <si>
    <t>02.05.2022</t>
  </si>
  <si>
    <t>29.04.2022</t>
  </si>
  <si>
    <t>28.04.2022</t>
  </si>
  <si>
    <t>27.04.2022</t>
  </si>
  <si>
    <t>33,67M</t>
  </si>
  <si>
    <t>26.04.2022</t>
  </si>
  <si>
    <t>25.04.2022</t>
  </si>
  <si>
    <t>22.04.2022</t>
  </si>
  <si>
    <t>21.04.2022</t>
  </si>
  <si>
    <t>17,15M</t>
  </si>
  <si>
    <t>20.04.2022</t>
  </si>
  <si>
    <t>19.04.2022</t>
  </si>
  <si>
    <t>18.04.2022</t>
  </si>
  <si>
    <t>14.04.2022</t>
  </si>
  <si>
    <t>13.04.2022</t>
  </si>
  <si>
    <t>17,00M</t>
  </si>
  <si>
    <t>12.04.2022</t>
  </si>
  <si>
    <t>25,25M</t>
  </si>
  <si>
    <t>11.04.2022</t>
  </si>
  <si>
    <t>08.04.2022</t>
  </si>
  <si>
    <t>07.04.2022</t>
  </si>
  <si>
    <t>06.04.2022</t>
  </si>
  <si>
    <t>05.04.2022</t>
  </si>
  <si>
    <t>16,06M</t>
  </si>
  <si>
    <t>04.04.2022</t>
  </si>
  <si>
    <t>01.04.2022</t>
  </si>
  <si>
    <t>17,47M</t>
  </si>
  <si>
    <t>31.03.2022</t>
  </si>
  <si>
    <t>27,59M</t>
  </si>
  <si>
    <t>30.03.2022</t>
  </si>
  <si>
    <t>16,13M</t>
  </si>
  <si>
    <t>29.03.2022</t>
  </si>
  <si>
    <t>20,04M</t>
  </si>
  <si>
    <t>28.03.2022</t>
  </si>
  <si>
    <t>17,16M</t>
  </si>
  <si>
    <t>25.03.2022</t>
  </si>
  <si>
    <t>18,09M</t>
  </si>
  <si>
    <t>24.03.2022</t>
  </si>
  <si>
    <t>23.03.2022</t>
  </si>
  <si>
    <t>19,74M</t>
  </si>
  <si>
    <t>22.03.2022</t>
  </si>
  <si>
    <t>29,29M</t>
  </si>
  <si>
    <t>21.03.2022</t>
  </si>
  <si>
    <t>29,17M</t>
  </si>
  <si>
    <t>18.03.2022</t>
  </si>
  <si>
    <t>51,81M</t>
  </si>
  <si>
    <t>17.03.2022</t>
  </si>
  <si>
    <t>16.03.2022</t>
  </si>
  <si>
    <t>21,82M</t>
  </si>
  <si>
    <t>15.03.2022</t>
  </si>
  <si>
    <t>14.03.2022</t>
  </si>
  <si>
    <t>11.03.2022</t>
  </si>
  <si>
    <t>20,33M</t>
  </si>
  <si>
    <t>10.03.2022</t>
  </si>
  <si>
    <t>09.03.2022</t>
  </si>
  <si>
    <t>19,15M</t>
  </si>
  <si>
    <t>08.03.2022</t>
  </si>
  <si>
    <t>23,64M</t>
  </si>
  <si>
    <t>07.03.2022</t>
  </si>
  <si>
    <t>21,35M</t>
  </si>
  <si>
    <t>04.03.2022</t>
  </si>
  <si>
    <t>16,73M</t>
  </si>
  <si>
    <t>03.03.2022</t>
  </si>
  <si>
    <t>02.03.2022</t>
  </si>
  <si>
    <t>01.03.2022</t>
  </si>
  <si>
    <t>28.02.2022</t>
  </si>
  <si>
    <t>25.02.2022</t>
  </si>
  <si>
    <t>18,96M</t>
  </si>
  <si>
    <t>24.02.2022</t>
  </si>
  <si>
    <t>27,74M</t>
  </si>
  <si>
    <t>23.02.2022</t>
  </si>
  <si>
    <t>22,03M</t>
  </si>
  <si>
    <t>22.02.2022</t>
  </si>
  <si>
    <t>25,19M</t>
  </si>
  <si>
    <t>18.02.2022</t>
  </si>
  <si>
    <t>35,63M</t>
  </si>
  <si>
    <t>17.02.2022</t>
  </si>
  <si>
    <t>32,88M</t>
  </si>
  <si>
    <t>16.02.2022</t>
  </si>
  <si>
    <t>15.02.2022</t>
  </si>
  <si>
    <t>14.02.2022</t>
  </si>
  <si>
    <t>21,87M</t>
  </si>
  <si>
    <t>11.02.2022</t>
  </si>
  <si>
    <t>20,13M</t>
  </si>
  <si>
    <t>10.02.2022</t>
  </si>
  <si>
    <t>19,73M</t>
  </si>
  <si>
    <t>09.02.2022</t>
  </si>
  <si>
    <t>08.02.2022</t>
  </si>
  <si>
    <t>07.02.2022</t>
  </si>
  <si>
    <t>14,45M</t>
  </si>
  <si>
    <t>04.02.2022</t>
  </si>
  <si>
    <t>19,68M</t>
  </si>
  <si>
    <t>03.02.2022</t>
  </si>
  <si>
    <t>02.02.2022</t>
  </si>
  <si>
    <t>23,32M</t>
  </si>
  <si>
    <t>01.02.2022</t>
  </si>
  <si>
    <t>22,44M</t>
  </si>
  <si>
    <t>31.01.2022</t>
  </si>
  <si>
    <t>29,93M</t>
  </si>
  <si>
    <t>28.01.2022</t>
  </si>
  <si>
    <t>30,98M</t>
  </si>
  <si>
    <t>27.01.2022</t>
  </si>
  <si>
    <t>25,97M</t>
  </si>
  <si>
    <t>26.01.2022</t>
  </si>
  <si>
    <t>28,63M</t>
  </si>
  <si>
    <t>25.01.2022</t>
  </si>
  <si>
    <t>25,16M</t>
  </si>
  <si>
    <t>24.01.2022</t>
  </si>
  <si>
    <t>34,19M</t>
  </si>
  <si>
    <t>21.01.2022</t>
  </si>
  <si>
    <t>25,91M</t>
  </si>
  <si>
    <t>20.01.2022</t>
  </si>
  <si>
    <t>17,73M</t>
  </si>
  <si>
    <t>19.01.2022</t>
  </si>
  <si>
    <t>24,33M</t>
  </si>
  <si>
    <t>18.01.2022</t>
  </si>
  <si>
    <t>26,55M</t>
  </si>
  <si>
    <t>14.01.2022</t>
  </si>
  <si>
    <t>13.01.2022</t>
  </si>
  <si>
    <t>12.01.2022</t>
  </si>
  <si>
    <t>11.01.2022</t>
  </si>
  <si>
    <t>22,80M</t>
  </si>
  <si>
    <t>10.01.2022</t>
  </si>
  <si>
    <t>24,72M</t>
  </si>
  <si>
    <t>07.01.2022</t>
  </si>
  <si>
    <t>20,15M</t>
  </si>
  <si>
    <t>06.01.2022</t>
  </si>
  <si>
    <t>05.01.2022</t>
  </si>
  <si>
    <t>30,32M</t>
  </si>
  <si>
    <t>04.01.2022</t>
  </si>
  <si>
    <t>29,68M</t>
  </si>
  <si>
    <t>03.01.2022</t>
  </si>
  <si>
    <t>31.12.2021</t>
  </si>
  <si>
    <t>10,36M</t>
  </si>
  <si>
    <t>30.12.2021</t>
  </si>
  <si>
    <t>9,08M</t>
  </si>
  <si>
    <t>29.12.2021</t>
  </si>
  <si>
    <t>28.12.2021</t>
  </si>
  <si>
    <t>12,87M</t>
  </si>
  <si>
    <t>27.12.2021</t>
  </si>
  <si>
    <t>23.12.2021</t>
  </si>
  <si>
    <t>17,77M</t>
  </si>
  <si>
    <t>22.12.2021</t>
  </si>
  <si>
    <t>17,10M</t>
  </si>
  <si>
    <t>21.12.2021</t>
  </si>
  <si>
    <t>20,76M</t>
  </si>
  <si>
    <t>20.12.2021</t>
  </si>
  <si>
    <t>21,34M</t>
  </si>
  <si>
    <t>17.12.2021</t>
  </si>
  <si>
    <t>62,33M</t>
  </si>
  <si>
    <t>16.12.2021</t>
  </si>
  <si>
    <t>24,60M</t>
  </si>
  <si>
    <t>15.12.2021</t>
  </si>
  <si>
    <t>27,95M</t>
  </si>
  <si>
    <t>14.12.2021</t>
  </si>
  <si>
    <t>19,11M</t>
  </si>
  <si>
    <t>13.12.2021</t>
  </si>
  <si>
    <t>18,50M</t>
  </si>
  <si>
    <t>10.12.2021</t>
  </si>
  <si>
    <t>09.12.2021</t>
  </si>
  <si>
    <t>16,48M</t>
  </si>
  <si>
    <t>08.12.2021</t>
  </si>
  <si>
    <t>07.12.2021</t>
  </si>
  <si>
    <t>24,25M</t>
  </si>
  <si>
    <t>06.12.2021</t>
  </si>
  <si>
    <t>23,17M</t>
  </si>
  <si>
    <t>03.12.2021</t>
  </si>
  <si>
    <t>26,24M</t>
  </si>
  <si>
    <t>02.12.2021</t>
  </si>
  <si>
    <t>22,38M</t>
  </si>
  <si>
    <t>01.12.2021</t>
  </si>
  <si>
    <t>24,13M</t>
  </si>
  <si>
    <t>30.11.2021</t>
  </si>
  <si>
    <t>45,14M</t>
  </si>
  <si>
    <t>29.11.2021</t>
  </si>
  <si>
    <t>26.11.2021</t>
  </si>
  <si>
    <t>24.11.2021</t>
  </si>
  <si>
    <t>19,33M</t>
  </si>
  <si>
    <t>23.11.2021</t>
  </si>
  <si>
    <t>25,65M</t>
  </si>
  <si>
    <t>22.11.2021</t>
  </si>
  <si>
    <t>39,95M</t>
  </si>
  <si>
    <t>19.11.2021</t>
  </si>
  <si>
    <t>30,03M</t>
  </si>
  <si>
    <t>18.11.2021</t>
  </si>
  <si>
    <t>70,84M</t>
  </si>
  <si>
    <t>17.11.2021</t>
  </si>
  <si>
    <t>31,50M</t>
  </si>
  <si>
    <t>16.11.2021</t>
  </si>
  <si>
    <t>21,14M</t>
  </si>
  <si>
    <t>15.11.2021</t>
  </si>
  <si>
    <t>19,04M</t>
  </si>
  <si>
    <t>12.11.2021</t>
  </si>
  <si>
    <t>11.11.2021</t>
  </si>
  <si>
    <t>17,44M</t>
  </si>
  <si>
    <t>10.11.2021</t>
  </si>
  <si>
    <t>09.11.2021</t>
  </si>
  <si>
    <t>14,46M</t>
  </si>
  <si>
    <t>08.11.2021</t>
  </si>
  <si>
    <t>15,05M</t>
  </si>
  <si>
    <t>05.11.2021</t>
  </si>
  <si>
    <t>04.11.2021</t>
  </si>
  <si>
    <t>03.11.2021</t>
  </si>
  <si>
    <t>13,22M</t>
  </si>
  <si>
    <t>02.11.2021</t>
  </si>
  <si>
    <t>01.11.2021</t>
  </si>
  <si>
    <t>29.10.2021</t>
  </si>
  <si>
    <t>13,55M</t>
  </si>
  <si>
    <t>28.10.2021</t>
  </si>
  <si>
    <t>11,21M</t>
  </si>
  <si>
    <t>27.10.2021</t>
  </si>
  <si>
    <t>16,28M</t>
  </si>
  <si>
    <t>26.10.2021</t>
  </si>
  <si>
    <t>25.10.2021</t>
  </si>
  <si>
    <t>10,22M</t>
  </si>
  <si>
    <t>22.10.2021</t>
  </si>
  <si>
    <t>21.10.2021</t>
  </si>
  <si>
    <t>12,62M</t>
  </si>
  <si>
    <t>20.10.2021</t>
  </si>
  <si>
    <t>11,61M</t>
  </si>
  <si>
    <t>19.10.2021</t>
  </si>
  <si>
    <t>13,26M</t>
  </si>
  <si>
    <t>18.10.2021</t>
  </si>
  <si>
    <t>10,99M</t>
  </si>
  <si>
    <t>15.10.2021</t>
  </si>
  <si>
    <t>14.10.2021</t>
  </si>
  <si>
    <t>13.10.2021</t>
  </si>
  <si>
    <t>13,74M</t>
  </si>
  <si>
    <t>12.10.2021</t>
  </si>
  <si>
    <t>11.10.2021</t>
  </si>
  <si>
    <t>08.10.2021</t>
  </si>
  <si>
    <t>9,26M</t>
  </si>
  <si>
    <t>07.10.2021</t>
  </si>
  <si>
    <t>06.10.2021</t>
  </si>
  <si>
    <t>26,34M</t>
  </si>
  <si>
    <t>05.10.2021</t>
  </si>
  <si>
    <t>14,14M</t>
  </si>
  <si>
    <t>04.10.2021</t>
  </si>
  <si>
    <t>01.10.2021</t>
  </si>
  <si>
    <t>30.09.2021</t>
  </si>
  <si>
    <t>29.09.2021</t>
  </si>
  <si>
    <t>14,05M</t>
  </si>
  <si>
    <t>28.09.2021</t>
  </si>
  <si>
    <t>27.09.2021</t>
  </si>
  <si>
    <t>13,86M</t>
  </si>
  <si>
    <t>24.09.2021</t>
  </si>
  <si>
    <t>23.09.2021</t>
  </si>
  <si>
    <t>22.09.2021</t>
  </si>
  <si>
    <t>21.09.2021</t>
  </si>
  <si>
    <t>20.09.2021</t>
  </si>
  <si>
    <t>21,90M</t>
  </si>
  <si>
    <t>17.09.2021</t>
  </si>
  <si>
    <t>40,26M</t>
  </si>
  <si>
    <t>16.09.2021</t>
  </si>
  <si>
    <t>24,03M</t>
  </si>
  <si>
    <t>15.09.2021</t>
  </si>
  <si>
    <t>37,52M</t>
  </si>
  <si>
    <t>14.09.2021</t>
  </si>
  <si>
    <t>12,81M</t>
  </si>
  <si>
    <t>13.09.2021</t>
  </si>
  <si>
    <t>10.09.2021</t>
  </si>
  <si>
    <t>13,62M</t>
  </si>
  <si>
    <t>09.09.2021</t>
  </si>
  <si>
    <t>08.09.2021</t>
  </si>
  <si>
    <t>07.09.2021</t>
  </si>
  <si>
    <t>03.09.2021</t>
  </si>
  <si>
    <t>9,74M</t>
  </si>
  <si>
    <t>02.09.2021</t>
  </si>
  <si>
    <t>12,86M</t>
  </si>
  <si>
    <t>01.09.2021</t>
  </si>
  <si>
    <t>11,63M</t>
  </si>
  <si>
    <t>31.08.2021</t>
  </si>
  <si>
    <t>19,87M</t>
  </si>
  <si>
    <t>30.08.2021</t>
  </si>
  <si>
    <t>11,80M</t>
  </si>
  <si>
    <t>27.08.2021</t>
  </si>
  <si>
    <t>14,80M</t>
  </si>
  <si>
    <t>26.08.2021</t>
  </si>
  <si>
    <t>13,73M</t>
  </si>
  <si>
    <t>25.08.2021</t>
  </si>
  <si>
    <t>24.08.2021</t>
  </si>
  <si>
    <t>17,66M</t>
  </si>
  <si>
    <t>23.08.2021</t>
  </si>
  <si>
    <t>16,23M</t>
  </si>
  <si>
    <t>20.08.2021</t>
  </si>
  <si>
    <t>21,88M</t>
  </si>
  <si>
    <t>19.08.2021</t>
  </si>
  <si>
    <t>39,88M</t>
  </si>
  <si>
    <t>18.08.2021</t>
  </si>
  <si>
    <t>17.08.2021</t>
  </si>
  <si>
    <t>11,99M</t>
  </si>
  <si>
    <t>16.08.2021</t>
  </si>
  <si>
    <t>13.08.2021</t>
  </si>
  <si>
    <t>10,84M</t>
  </si>
  <si>
    <t>12.08.2021</t>
  </si>
  <si>
    <t>11.08.2021</t>
  </si>
  <si>
    <t>12,60M</t>
  </si>
  <si>
    <t>10.08.2021</t>
  </si>
  <si>
    <t>10,44M</t>
  </si>
  <si>
    <t>09.08.2021</t>
  </si>
  <si>
    <t>8,71M</t>
  </si>
  <si>
    <t>06.08.2021</t>
  </si>
  <si>
    <t>05.08.2021</t>
  </si>
  <si>
    <t>10,79M</t>
  </si>
  <si>
    <t>04.08.2021</t>
  </si>
  <si>
    <t>11,66M</t>
  </si>
  <si>
    <t>03.08.2021</t>
  </si>
  <si>
    <t>02.08.2021</t>
  </si>
  <si>
    <t>30.07.2021</t>
  </si>
  <si>
    <t>13,44M</t>
  </si>
  <si>
    <t>29.07.2021</t>
  </si>
  <si>
    <t>10,68M</t>
  </si>
  <si>
    <t>28.07.2021</t>
  </si>
  <si>
    <t>27.07.2021</t>
  </si>
  <si>
    <t>14,74M</t>
  </si>
  <si>
    <t>26.07.2021</t>
  </si>
  <si>
    <t>10,10M</t>
  </si>
  <si>
    <t>23.07.2021</t>
  </si>
  <si>
    <t>22.07.2021</t>
  </si>
  <si>
    <t>21.07.2021</t>
  </si>
  <si>
    <t>20.07.2021</t>
  </si>
  <si>
    <t>19.07.2021</t>
  </si>
  <si>
    <t>19,93M</t>
  </si>
  <si>
    <t>16.07.2021</t>
  </si>
  <si>
    <t>15.07.2021</t>
  </si>
  <si>
    <t>14.07.2021</t>
  </si>
  <si>
    <t>13.07.2021</t>
  </si>
  <si>
    <t>9,93M</t>
  </si>
  <si>
    <t>12.07.2021</t>
  </si>
  <si>
    <t>14,00M</t>
  </si>
  <si>
    <t>09.07.2021</t>
  </si>
  <si>
    <t>08.07.2021</t>
  </si>
  <si>
    <t>15,69M</t>
  </si>
  <si>
    <t>07.07.2021</t>
  </si>
  <si>
    <t>06.07.2021</t>
  </si>
  <si>
    <t>02.07.2021</t>
  </si>
  <si>
    <t>01.07.2021</t>
  </si>
  <si>
    <t>30.06.2021</t>
  </si>
  <si>
    <t>29.06.2021</t>
  </si>
  <si>
    <t>10,93M</t>
  </si>
  <si>
    <t>28.06.2021</t>
  </si>
  <si>
    <t>14,01M</t>
  </si>
  <si>
    <t>25.06.2021</t>
  </si>
  <si>
    <t>24.06.2021</t>
  </si>
  <si>
    <t>13,97M</t>
  </si>
  <si>
    <t>23.06.2021</t>
  </si>
  <si>
    <t>22.06.2021</t>
  </si>
  <si>
    <t>21.06.2021</t>
  </si>
  <si>
    <t>18.06.2021</t>
  </si>
  <si>
    <t>35,76M</t>
  </si>
  <si>
    <t>17.06.2021</t>
  </si>
  <si>
    <t>16.06.2021</t>
  </si>
  <si>
    <t>15,48M</t>
  </si>
  <si>
    <t>15.06.2021</t>
  </si>
  <si>
    <t>12,54M</t>
  </si>
  <si>
    <t>14.06.2021</t>
  </si>
  <si>
    <t>11.06.2021</t>
  </si>
  <si>
    <t>17,13M</t>
  </si>
  <si>
    <t>10.06.2021</t>
  </si>
  <si>
    <t>22,18M</t>
  </si>
  <si>
    <t>09.06.2021</t>
  </si>
  <si>
    <t>14,86M</t>
  </si>
  <si>
    <t>08.06.2021</t>
  </si>
  <si>
    <t>15,33M</t>
  </si>
  <si>
    <t>07.06.2021</t>
  </si>
  <si>
    <t>14,90M</t>
  </si>
  <si>
    <t>04.06.2021</t>
  </si>
  <si>
    <t>11,68M</t>
  </si>
  <si>
    <t>03.06.2021</t>
  </si>
  <si>
    <t>02.06.2021</t>
  </si>
  <si>
    <t>01.06.2021</t>
  </si>
  <si>
    <t>28.05.2021</t>
  </si>
  <si>
    <t>27.05.2021</t>
  </si>
  <si>
    <t>56,22M</t>
  </si>
  <si>
    <t>26.05.2021</t>
  </si>
  <si>
    <t>25.05.2021</t>
  </si>
  <si>
    <t>20,66M</t>
  </si>
  <si>
    <t>24.05.2021</t>
  </si>
  <si>
    <t>21,13M</t>
  </si>
  <si>
    <t>21.05.2021</t>
  </si>
  <si>
    <t>24,47M</t>
  </si>
  <si>
    <t>20.05.2021</t>
  </si>
  <si>
    <t>48,83M</t>
  </si>
  <si>
    <t>19.05.2021</t>
  </si>
  <si>
    <t>29,19M</t>
  </si>
  <si>
    <t>18.05.2021</t>
  </si>
  <si>
    <t>17.05.2021</t>
  </si>
  <si>
    <t>14.05.2021</t>
  </si>
  <si>
    <t>14,79M</t>
  </si>
  <si>
    <t>13.05.2021</t>
  </si>
  <si>
    <t>15,87M</t>
  </si>
  <si>
    <t>12.05.2021</t>
  </si>
  <si>
    <t>22,12M</t>
  </si>
  <si>
    <t>11.05.2021</t>
  </si>
  <si>
    <t>20,22M</t>
  </si>
  <si>
    <t>10.05.2021</t>
  </si>
  <si>
    <t>23,85M</t>
  </si>
  <si>
    <t>07.05.2021</t>
  </si>
  <si>
    <t>24,15M</t>
  </si>
  <si>
    <t>06.05.2021</t>
  </si>
  <si>
    <t>27,11M</t>
  </si>
  <si>
    <t>05.05.2021</t>
  </si>
  <si>
    <t>04.05.2021</t>
  </si>
  <si>
    <t>18,16M</t>
  </si>
  <si>
    <t>03.05.2021</t>
  </si>
  <si>
    <t>30.04.2021</t>
  </si>
  <si>
    <t>29.04.2021</t>
  </si>
  <si>
    <t>28.04.2021</t>
  </si>
  <si>
    <t>27.04.2021</t>
  </si>
  <si>
    <t>26.04.2021</t>
  </si>
  <si>
    <t>23.04.2021</t>
  </si>
  <si>
    <t>22.04.2021</t>
  </si>
  <si>
    <t>15,56M</t>
  </si>
  <si>
    <t>21.04.2021</t>
  </si>
  <si>
    <t>20.04.2021</t>
  </si>
  <si>
    <t>21,26M</t>
  </si>
  <si>
    <t>19.04.2021</t>
  </si>
  <si>
    <t>16.04.2021</t>
  </si>
  <si>
    <t>28,33M</t>
  </si>
  <si>
    <t>15.04.2021</t>
  </si>
  <si>
    <t>14.04.2021</t>
  </si>
  <si>
    <t>13.04.2021</t>
  </si>
  <si>
    <t>13,35M</t>
  </si>
  <si>
    <t>12.04.2021</t>
  </si>
  <si>
    <t>09.04.2021</t>
  </si>
  <si>
    <t>08.04.2021</t>
  </si>
  <si>
    <t>07.04.2021</t>
  </si>
  <si>
    <t>15,78M</t>
  </si>
  <si>
    <t>06.04.2021</t>
  </si>
  <si>
    <t>05.04.2021</t>
  </si>
  <si>
    <t>19,86M</t>
  </si>
  <si>
    <t>01.04.2021</t>
  </si>
  <si>
    <t>31.03.2021</t>
  </si>
  <si>
    <t>30.03.2021</t>
  </si>
  <si>
    <t>22,47M</t>
  </si>
  <si>
    <t>29.03.2021</t>
  </si>
  <si>
    <t>25,03M</t>
  </si>
  <si>
    <t>26.03.2021</t>
  </si>
  <si>
    <t>32,00M</t>
  </si>
  <si>
    <t>25.03.2021</t>
  </si>
  <si>
    <t>34,54M</t>
  </si>
  <si>
    <t>24.03.2021</t>
  </si>
  <si>
    <t>26,44M</t>
  </si>
  <si>
    <t>23.03.2021</t>
  </si>
  <si>
    <t>22.03.2021</t>
  </si>
  <si>
    <t>28,81M</t>
  </si>
  <si>
    <t>19.03.2021</t>
  </si>
  <si>
    <t>65,37M</t>
  </si>
  <si>
    <t>18.03.2021</t>
  </si>
  <si>
    <t>17.03.2021</t>
  </si>
  <si>
    <t>16.03.2021</t>
  </si>
  <si>
    <t>15.03.2021</t>
  </si>
  <si>
    <t>12.03.2021</t>
  </si>
  <si>
    <t>11.03.2021</t>
  </si>
  <si>
    <t>21,98M</t>
  </si>
  <si>
    <t>10.03.2021</t>
  </si>
  <si>
    <t>19,84M</t>
  </si>
  <si>
    <t>09.03.2021</t>
  </si>
  <si>
    <t>26,51M</t>
  </si>
  <si>
    <t>08.03.2021</t>
  </si>
  <si>
    <t>34,82M</t>
  </si>
  <si>
    <t>05.03.2021</t>
  </si>
  <si>
    <t>33,20M</t>
  </si>
  <si>
    <t>04.03.2021</t>
  </si>
  <si>
    <t>24,65M</t>
  </si>
  <si>
    <t>03.03.2021</t>
  </si>
  <si>
    <t>02.03.2021</t>
  </si>
  <si>
    <t>01.03.2021</t>
  </si>
  <si>
    <t>26.02.2021</t>
  </si>
  <si>
    <t>22,14M</t>
  </si>
  <si>
    <t>25.02.2021</t>
  </si>
  <si>
    <t>21,92M</t>
  </si>
  <si>
    <t>24.02.2021</t>
  </si>
  <si>
    <t>23.02.2021</t>
  </si>
  <si>
    <t>19,71M</t>
  </si>
  <si>
    <t>22.02.2021</t>
  </si>
  <si>
    <t>21,44M</t>
  </si>
  <si>
    <t>19.02.2021</t>
  </si>
  <si>
    <t>25,12M</t>
  </si>
  <si>
    <t>18.02.2021</t>
  </si>
  <si>
    <t>17.02.2021</t>
  </si>
  <si>
    <t>13,30M</t>
  </si>
  <si>
    <t>16.02.2021</t>
  </si>
  <si>
    <t>12.02.2021</t>
  </si>
  <si>
    <t>15,24M</t>
  </si>
  <si>
    <t>11.02.2021</t>
  </si>
  <si>
    <t>10.02.2021</t>
  </si>
  <si>
    <t>44,54M</t>
  </si>
  <si>
    <t>09.02.2021</t>
  </si>
  <si>
    <t>24,80M</t>
  </si>
  <si>
    <t>08.02.2021</t>
  </si>
  <si>
    <t>25,22M</t>
  </si>
  <si>
    <t>05.02.2021</t>
  </si>
  <si>
    <t>25,49M</t>
  </si>
  <si>
    <t>04.02.2021</t>
  </si>
  <si>
    <t>22,29M</t>
  </si>
  <si>
    <t>03.02.2021</t>
  </si>
  <si>
    <t>13,17M</t>
  </si>
  <si>
    <t>02.02.2021</t>
  </si>
  <si>
    <t>01.02.2021</t>
  </si>
  <si>
    <t>16,78M</t>
  </si>
  <si>
    <t>29.01.2021</t>
  </si>
  <si>
    <t>22,61M</t>
  </si>
  <si>
    <t>28.01.2021</t>
  </si>
  <si>
    <t>21,17M</t>
  </si>
  <si>
    <t>27.01.2021</t>
  </si>
  <si>
    <t>29,63M</t>
  </si>
  <si>
    <t>26.01.2021</t>
  </si>
  <si>
    <t>25.01.2021</t>
  </si>
  <si>
    <t>16,58M</t>
  </si>
  <si>
    <t>22.01.2021</t>
  </si>
  <si>
    <t>21.01.2021</t>
  </si>
  <si>
    <t>20.01.2021</t>
  </si>
  <si>
    <t>19.01.2021</t>
  </si>
  <si>
    <t>28,87M</t>
  </si>
  <si>
    <t>15.01.2021</t>
  </si>
  <si>
    <t>30,27M</t>
  </si>
  <si>
    <t>14.01.2021</t>
  </si>
  <si>
    <t>22,33M</t>
  </si>
  <si>
    <t>13.01.2021</t>
  </si>
  <si>
    <t>12.01.2021</t>
  </si>
  <si>
    <t>11.01.2021</t>
  </si>
  <si>
    <t>25,06M</t>
  </si>
  <si>
    <t>08.01.2021</t>
  </si>
  <si>
    <t>07.01.2021</t>
  </si>
  <si>
    <t>06.01.2021</t>
  </si>
  <si>
    <t>05.01.2021</t>
  </si>
  <si>
    <t>04.01.2021</t>
  </si>
  <si>
    <t>24,39M</t>
  </si>
  <si>
    <t>31.12.2020</t>
  </si>
  <si>
    <t>30.12.2020</t>
  </si>
  <si>
    <t>11,04M</t>
  </si>
  <si>
    <t>29.12.2020</t>
  </si>
  <si>
    <t>11,83M</t>
  </si>
  <si>
    <t>28.12.2020</t>
  </si>
  <si>
    <t>24.12.2020</t>
  </si>
  <si>
    <t>5,72M</t>
  </si>
  <si>
    <t>23.12.2020</t>
  </si>
  <si>
    <t>12,03M</t>
  </si>
  <si>
    <t>22.12.2020</t>
  </si>
  <si>
    <t>21.12.2020</t>
  </si>
  <si>
    <t>18.12.2020</t>
  </si>
  <si>
    <t>41,03M</t>
  </si>
  <si>
    <t>17.12.2020</t>
  </si>
  <si>
    <t>16.12.2020</t>
  </si>
  <si>
    <t>15.12.2020</t>
  </si>
  <si>
    <t>18,17M</t>
  </si>
  <si>
    <t>14.12.2020</t>
  </si>
  <si>
    <t>11.12.2020</t>
  </si>
  <si>
    <t>14,58M</t>
  </si>
  <si>
    <t>10.12.2020</t>
  </si>
  <si>
    <t>09.12.2020</t>
  </si>
  <si>
    <t>22,68M</t>
  </si>
  <si>
    <t>08.12.2020</t>
  </si>
  <si>
    <t>07.12.2020</t>
  </si>
  <si>
    <t>14,09M</t>
  </si>
  <si>
    <t>04.12.2020</t>
  </si>
  <si>
    <t>17,32M</t>
  </si>
  <si>
    <t>03.12.2020</t>
  </si>
  <si>
    <t>27,71M</t>
  </si>
  <si>
    <t>02.12.2020</t>
  </si>
  <si>
    <t>17,42M</t>
  </si>
  <si>
    <t>01.12.2020</t>
  </si>
  <si>
    <t>23,95M</t>
  </si>
  <si>
    <t>30.11.2020</t>
  </si>
  <si>
    <t>34,74M</t>
  </si>
  <si>
    <t>27.11.2020</t>
  </si>
  <si>
    <t>10,77M</t>
  </si>
  <si>
    <t>25.11.2020</t>
  </si>
  <si>
    <t>24.11.2020</t>
  </si>
  <si>
    <t>23.11.2020</t>
  </si>
  <si>
    <t>20.11.2020</t>
  </si>
  <si>
    <t>19,78M</t>
  </si>
  <si>
    <t>19.11.2020</t>
  </si>
  <si>
    <t>18.11.2020</t>
  </si>
  <si>
    <t>21,33M</t>
  </si>
  <si>
    <t>17.11.2020</t>
  </si>
  <si>
    <t>16.11.2020</t>
  </si>
  <si>
    <t>34,57M</t>
  </si>
  <si>
    <t>13.11.2020</t>
  </si>
  <si>
    <t>49,12M</t>
  </si>
  <si>
    <t>12.11.2020</t>
  </si>
  <si>
    <t>29,54M</t>
  </si>
  <si>
    <t>11.11.2020</t>
  </si>
  <si>
    <t>27,33M</t>
  </si>
  <si>
    <t>10.11.2020</t>
  </si>
  <si>
    <t>31,51M</t>
  </si>
  <si>
    <t>09.11.2020</t>
  </si>
  <si>
    <t>42,65M</t>
  </si>
  <si>
    <t>06.11.2020</t>
  </si>
  <si>
    <t>19,48M</t>
  </si>
  <si>
    <t>05.11.2020</t>
  </si>
  <si>
    <t>04.11.2020</t>
  </si>
  <si>
    <t>03.11.2020</t>
  </si>
  <si>
    <t>27,34M</t>
  </si>
  <si>
    <t>02.11.2020</t>
  </si>
  <si>
    <t>23,48M</t>
  </si>
  <si>
    <t>30.10.2020</t>
  </si>
  <si>
    <t>29,16M</t>
  </si>
  <si>
    <t>29.10.2020</t>
  </si>
  <si>
    <t>35,33M</t>
  </si>
  <si>
    <t>28.10.2020</t>
  </si>
  <si>
    <t>34,56M</t>
  </si>
  <si>
    <t>27.10.2020</t>
  </si>
  <si>
    <t>37,91M</t>
  </si>
  <si>
    <t>26.10.2020</t>
  </si>
  <si>
    <t>29,15M</t>
  </si>
  <si>
    <t>23.10.2020</t>
  </si>
  <si>
    <t>22.10.2020</t>
  </si>
  <si>
    <t>21.10.2020</t>
  </si>
  <si>
    <t>20.10.2020</t>
  </si>
  <si>
    <t>19.10.2020</t>
  </si>
  <si>
    <t>16.10.2020</t>
  </si>
  <si>
    <t>15.10.2020</t>
  </si>
  <si>
    <t>14.10.2020</t>
  </si>
  <si>
    <t>13.10.2020</t>
  </si>
  <si>
    <t>23,44M</t>
  </si>
  <si>
    <t>12.10.2020</t>
  </si>
  <si>
    <t>09.10.2020</t>
  </si>
  <si>
    <t>16,17M</t>
  </si>
  <si>
    <t>08.10.2020</t>
  </si>
  <si>
    <t>19,03M</t>
  </si>
  <si>
    <t>07.10.2020</t>
  </si>
  <si>
    <t>06.10.2020</t>
  </si>
  <si>
    <t>28,43M</t>
  </si>
  <si>
    <t>05.10.2020</t>
  </si>
  <si>
    <t>26,93M</t>
  </si>
  <si>
    <t>02.10.2020</t>
  </si>
  <si>
    <t>01.10.2020</t>
  </si>
  <si>
    <t>30.09.2020</t>
  </si>
  <si>
    <t>29.09.2020</t>
  </si>
  <si>
    <t>28.09.2020</t>
  </si>
  <si>
    <t>24,28M</t>
  </si>
  <si>
    <t>25.09.2020</t>
  </si>
  <si>
    <t>22,97M</t>
  </si>
  <si>
    <t>24.09.2020</t>
  </si>
  <si>
    <t>30,91M</t>
  </si>
  <si>
    <t>23.09.2020</t>
  </si>
  <si>
    <t>22.09.2020</t>
  </si>
  <si>
    <t>21.09.2020</t>
  </si>
  <si>
    <t>28,49M</t>
  </si>
  <si>
    <t>18.09.2020</t>
  </si>
  <si>
    <t>44,45M</t>
  </si>
  <si>
    <t>17.09.2020</t>
  </si>
  <si>
    <t>22,23M</t>
  </si>
  <si>
    <t>16.09.2020</t>
  </si>
  <si>
    <t>24,32M</t>
  </si>
  <si>
    <t>15.09.2020</t>
  </si>
  <si>
    <t>19,02M</t>
  </si>
  <si>
    <t>14.09.2020</t>
  </si>
  <si>
    <t>11.09.2020</t>
  </si>
  <si>
    <t>10.09.2020</t>
  </si>
  <si>
    <t>09.09.2020</t>
  </si>
  <si>
    <t>23,35M</t>
  </si>
  <si>
    <t>08.09.2020</t>
  </si>
  <si>
    <t>29,10M</t>
  </si>
  <si>
    <t>04.09.2020</t>
  </si>
  <si>
    <t>34,87M</t>
  </si>
  <si>
    <t>03.09.2020</t>
  </si>
  <si>
    <t>39,29M</t>
  </si>
  <si>
    <t>02.09.2020</t>
  </si>
  <si>
    <t>01.09.2020</t>
  </si>
  <si>
    <t>23,34M</t>
  </si>
  <si>
    <t>31.08.2020</t>
  </si>
  <si>
    <t>28.08.2020</t>
  </si>
  <si>
    <t>16,57M</t>
  </si>
  <si>
    <t>27.08.2020</t>
  </si>
  <si>
    <t>22,46M</t>
  </si>
  <si>
    <t>26.08.2020</t>
  </si>
  <si>
    <t>21,63M</t>
  </si>
  <si>
    <t>25.08.2020</t>
  </si>
  <si>
    <t>15,42M</t>
  </si>
  <si>
    <t>24.08.2020</t>
  </si>
  <si>
    <t>21.08.2020</t>
  </si>
  <si>
    <t>20.08.2020</t>
  </si>
  <si>
    <t>19.08.2020</t>
  </si>
  <si>
    <t>20,10M</t>
  </si>
  <si>
    <t>18.08.2020</t>
  </si>
  <si>
    <t>17.08.2020</t>
  </si>
  <si>
    <t>30,51M</t>
  </si>
  <si>
    <t>14.08.2020</t>
  </si>
  <si>
    <t>32,54M</t>
  </si>
  <si>
    <t>13.08.2020</t>
  </si>
  <si>
    <t>91,85M</t>
  </si>
  <si>
    <t>12.08.2020</t>
  </si>
  <si>
    <t>27,02M</t>
  </si>
  <si>
    <t>11.08.2020</t>
  </si>
  <si>
    <t>10.08.2020</t>
  </si>
  <si>
    <t>07.08.2020</t>
  </si>
  <si>
    <t>06.08.2020</t>
  </si>
  <si>
    <t>14,19M</t>
  </si>
  <si>
    <t>05.08.2020</t>
  </si>
  <si>
    <t>04.08.2020</t>
  </si>
  <si>
    <t>12,84M</t>
  </si>
  <si>
    <t>03.08.2020</t>
  </si>
  <si>
    <t>31.07.2020</t>
  </si>
  <si>
    <t>17,71M</t>
  </si>
  <si>
    <t>30.07.2020</t>
  </si>
  <si>
    <t>15,39M</t>
  </si>
  <si>
    <t>29.07.2020</t>
  </si>
  <si>
    <t>28.07.2020</t>
  </si>
  <si>
    <t>27.07.2020</t>
  </si>
  <si>
    <t>24.07.2020</t>
  </si>
  <si>
    <t>16,98M</t>
  </si>
  <si>
    <t>23.07.2020</t>
  </si>
  <si>
    <t>23,75M</t>
  </si>
  <si>
    <t>22.07.2020</t>
  </si>
  <si>
    <t>27,22M</t>
  </si>
  <si>
    <t>21.07.2020</t>
  </si>
  <si>
    <t>16,07M</t>
  </si>
  <si>
    <t>20.07.2020</t>
  </si>
  <si>
    <t>17.07.2020</t>
  </si>
  <si>
    <t>16.07.2020</t>
  </si>
  <si>
    <t>15.07.2020</t>
  </si>
  <si>
    <t>14.07.2020</t>
  </si>
  <si>
    <t>19,30M</t>
  </si>
  <si>
    <t>13.07.2020</t>
  </si>
  <si>
    <t>10.07.2020</t>
  </si>
  <si>
    <t>09.07.2020</t>
  </si>
  <si>
    <t>08.07.2020</t>
  </si>
  <si>
    <t>07.07.2020</t>
  </si>
  <si>
    <t>06.07.2020</t>
  </si>
  <si>
    <t>02.07.2020</t>
  </si>
  <si>
    <t>19,63M</t>
  </si>
  <si>
    <t>01.07.2020</t>
  </si>
  <si>
    <t>30.06.2020</t>
  </si>
  <si>
    <t>21,89M</t>
  </si>
  <si>
    <t>29.06.2020</t>
  </si>
  <si>
    <t>26.06.2020</t>
  </si>
  <si>
    <t>106,93M</t>
  </si>
  <si>
    <t>25.06.2020</t>
  </si>
  <si>
    <t>24.06.2020</t>
  </si>
  <si>
    <t>22,84M</t>
  </si>
  <si>
    <t>23.06.2020</t>
  </si>
  <si>
    <t>22.06.2020</t>
  </si>
  <si>
    <t>18,40M</t>
  </si>
  <si>
    <t>19.06.2020</t>
  </si>
  <si>
    <t>36,10M</t>
  </si>
  <si>
    <t>18.06.2020</t>
  </si>
  <si>
    <t>17.06.2020</t>
  </si>
  <si>
    <t>16.06.2020</t>
  </si>
  <si>
    <t>28,07M</t>
  </si>
  <si>
    <t>15.06.2020</t>
  </si>
  <si>
    <t>12.06.2020</t>
  </si>
  <si>
    <t>26,13M</t>
  </si>
  <si>
    <t>11.06.2020</t>
  </si>
  <si>
    <t>35,58M</t>
  </si>
  <si>
    <t>10.06.2020</t>
  </si>
  <si>
    <t>09.06.2020</t>
  </si>
  <si>
    <t>08.06.2020</t>
  </si>
  <si>
    <t>05.06.2020</t>
  </si>
  <si>
    <t>22,59M</t>
  </si>
  <si>
    <t>04.06.2020</t>
  </si>
  <si>
    <t>03.06.2020</t>
  </si>
  <si>
    <t>17,49M</t>
  </si>
  <si>
    <t>02.06.2020</t>
  </si>
  <si>
    <t>01.06.2020</t>
  </si>
  <si>
    <t>18,73M</t>
  </si>
  <si>
    <t>29.05.2020</t>
  </si>
  <si>
    <t>43,57M</t>
  </si>
  <si>
    <t>28.05.2020</t>
  </si>
  <si>
    <t>27.05.2020</t>
  </si>
  <si>
    <t>22,16M</t>
  </si>
  <si>
    <t>26.05.2020</t>
  </si>
  <si>
    <t>21,78M</t>
  </si>
  <si>
    <t>22.05.2020</t>
  </si>
  <si>
    <t>12,59M</t>
  </si>
  <si>
    <t>21.05.2020</t>
  </si>
  <si>
    <t>20.05.2020</t>
  </si>
  <si>
    <t>19.05.2020</t>
  </si>
  <si>
    <t>24,35M</t>
  </si>
  <si>
    <t>18.05.2020</t>
  </si>
  <si>
    <t>26,98M</t>
  </si>
  <si>
    <t>15.05.2020</t>
  </si>
  <si>
    <t>30,57M</t>
  </si>
  <si>
    <t>14.05.2020</t>
  </si>
  <si>
    <t>13.05.2020</t>
  </si>
  <si>
    <t>36,99M</t>
  </si>
  <si>
    <t>12.05.2020</t>
  </si>
  <si>
    <t>25,82M</t>
  </si>
  <si>
    <t>11.05.2020</t>
  </si>
  <si>
    <t>26,18M</t>
  </si>
  <si>
    <t>08.05.2020</t>
  </si>
  <si>
    <t>21,96M</t>
  </si>
  <si>
    <t>07.05.2020</t>
  </si>
  <si>
    <t>06.05.2020</t>
  </si>
  <si>
    <t>05.05.2020</t>
  </si>
  <si>
    <t>15,06M</t>
  </si>
  <si>
    <t>04.05.2020</t>
  </si>
  <si>
    <t>01.05.2020</t>
  </si>
  <si>
    <t>30.04.2020</t>
  </si>
  <si>
    <t>26,68M</t>
  </si>
  <si>
    <t>29.04.2020</t>
  </si>
  <si>
    <t>28.04.2020</t>
  </si>
  <si>
    <t>27.04.2020</t>
  </si>
  <si>
    <t>24.04.2020</t>
  </si>
  <si>
    <t>23.04.2020</t>
  </si>
  <si>
    <t>22.04.2020</t>
  </si>
  <si>
    <t>21.04.2020</t>
  </si>
  <si>
    <t>20.04.2020</t>
  </si>
  <si>
    <t>17.04.2020</t>
  </si>
  <si>
    <t>30,70M</t>
  </si>
  <si>
    <t>16.04.2020</t>
  </si>
  <si>
    <t>15.04.2020</t>
  </si>
  <si>
    <t>18,43M</t>
  </si>
  <si>
    <t>14.04.2020</t>
  </si>
  <si>
    <t>22,88M</t>
  </si>
  <si>
    <t>13.04.2020</t>
  </si>
  <si>
    <t>19,59M</t>
  </si>
  <si>
    <t>09.04.2020</t>
  </si>
  <si>
    <t>27,65M</t>
  </si>
  <si>
    <t>08.04.2020</t>
  </si>
  <si>
    <t>07.04.2020</t>
  </si>
  <si>
    <t>30,37M</t>
  </si>
  <si>
    <t>06.04.2020</t>
  </si>
  <si>
    <t>31,64M</t>
  </si>
  <si>
    <t>03.04.2020</t>
  </si>
  <si>
    <t>21,24M</t>
  </si>
  <si>
    <t>02.04.2020</t>
  </si>
  <si>
    <t>28,18M</t>
  </si>
  <si>
    <t>01.04.2020</t>
  </si>
  <si>
    <t>26,79M</t>
  </si>
  <si>
    <t>31.03.2020</t>
  </si>
  <si>
    <t>26,02M</t>
  </si>
  <si>
    <t>30.03.2020</t>
  </si>
  <si>
    <t>27,12M</t>
  </si>
  <si>
    <t>27.03.2020</t>
  </si>
  <si>
    <t>31,28M</t>
  </si>
  <si>
    <t>26.03.2020</t>
  </si>
  <si>
    <t>38,49M</t>
  </si>
  <si>
    <t>25.03.2020</t>
  </si>
  <si>
    <t>42,87M</t>
  </si>
  <si>
    <t>24.03.2020</t>
  </si>
  <si>
    <t>48,24M</t>
  </si>
  <si>
    <t>23.03.2020</t>
  </si>
  <si>
    <t>39,82M</t>
  </si>
  <si>
    <t>20.03.2020</t>
  </si>
  <si>
    <t>48,58M</t>
  </si>
  <si>
    <t>19.03.2020</t>
  </si>
  <si>
    <t>58,32M</t>
  </si>
  <si>
    <t>18.03.2020</t>
  </si>
  <si>
    <t>56,90M</t>
  </si>
  <si>
    <t>17.03.2020</t>
  </si>
  <si>
    <t>41,57M</t>
  </si>
  <si>
    <t>16.03.2020</t>
  </si>
  <si>
    <t>44,21M</t>
  </si>
  <si>
    <t>13.03.2020</t>
  </si>
  <si>
    <t>53,86M</t>
  </si>
  <si>
    <t>12.03.2020</t>
  </si>
  <si>
    <t>51,86M</t>
  </si>
  <si>
    <t>11.03.2020</t>
  </si>
  <si>
    <t>63,61M</t>
  </si>
  <si>
    <t>10.03.2020</t>
  </si>
  <si>
    <t>50,54M</t>
  </si>
  <si>
    <t>09.03.2020</t>
  </si>
  <si>
    <t>61,54M</t>
  </si>
  <si>
    <t>06.03.2020</t>
  </si>
  <si>
    <t>48,61M</t>
  </si>
  <si>
    <t>05.03.2020</t>
  </si>
  <si>
    <t>30,26M</t>
  </si>
  <si>
    <t>04.03.2020</t>
  </si>
  <si>
    <t>30,02M</t>
  </si>
  <si>
    <t>03.03.2020</t>
  </si>
  <si>
    <t>49,29M</t>
  </si>
  <si>
    <t>02.03.2020</t>
  </si>
  <si>
    <t>48,86M</t>
  </si>
  <si>
    <t>28.02.2020</t>
  </si>
  <si>
    <t>80,19M</t>
  </si>
  <si>
    <t>27.02.2020</t>
  </si>
  <si>
    <t>51,44M</t>
  </si>
  <si>
    <t>26.02.2020</t>
  </si>
  <si>
    <t>38,53M</t>
  </si>
  <si>
    <t>25.02.2020</t>
  </si>
  <si>
    <t>48,02M</t>
  </si>
  <si>
    <t>24.02.2020</t>
  </si>
  <si>
    <t>35,30M</t>
  </si>
  <si>
    <t>21.02.2020</t>
  </si>
  <si>
    <t>20.02.2020</t>
  </si>
  <si>
    <t>20,42M</t>
  </si>
  <si>
    <t>19.02.2020</t>
  </si>
  <si>
    <t>27,63M</t>
  </si>
  <si>
    <t>18.02.2020</t>
  </si>
  <si>
    <t>14.02.2020</t>
  </si>
  <si>
    <t>26,75M</t>
  </si>
  <si>
    <t>13.02.2020</t>
  </si>
  <si>
    <t>47,04M</t>
  </si>
  <si>
    <t>12.02.2020</t>
  </si>
  <si>
    <t>31,69M</t>
  </si>
  <si>
    <t>11.02.2020</t>
  </si>
  <si>
    <t>10.02.2020</t>
  </si>
  <si>
    <t>07.02.2020</t>
  </si>
  <si>
    <t>06.02.2020</t>
  </si>
  <si>
    <t>9,81M</t>
  </si>
  <si>
    <t>05.02.2020</t>
  </si>
  <si>
    <t>04.02.2020</t>
  </si>
  <si>
    <t>03.02.2020</t>
  </si>
  <si>
    <t>31.01.2020</t>
  </si>
  <si>
    <t>30.01.2020</t>
  </si>
  <si>
    <t>29.01.2020</t>
  </si>
  <si>
    <t>28.01.2020</t>
  </si>
  <si>
    <t>27.01.2020</t>
  </si>
  <si>
    <t>24.01.2020</t>
  </si>
  <si>
    <t>23.01.2020</t>
  </si>
  <si>
    <t>16,77M</t>
  </si>
  <si>
    <t>22.01.2020</t>
  </si>
  <si>
    <t>21.01.2020</t>
  </si>
  <si>
    <t>21,77M</t>
  </si>
  <si>
    <t>17.01.2020</t>
  </si>
  <si>
    <t>27,18M</t>
  </si>
  <si>
    <t>16.01.2020</t>
  </si>
  <si>
    <t>15.01.2020</t>
  </si>
  <si>
    <t>14.01.2020</t>
  </si>
  <si>
    <t>13.01.2020</t>
  </si>
  <si>
    <t>18,24M</t>
  </si>
  <si>
    <t>10.01.2020</t>
  </si>
  <si>
    <t>13,50M</t>
  </si>
  <si>
    <t>09.01.2020</t>
  </si>
  <si>
    <t>08.01.2020</t>
  </si>
  <si>
    <t>25,18M</t>
  </si>
  <si>
    <t>07.01.2020</t>
  </si>
  <si>
    <t>06.01.2020</t>
  </si>
  <si>
    <t>22,19M</t>
  </si>
  <si>
    <t>Sovereign Rating</t>
  </si>
  <si>
    <t>Country Risk Premium</t>
  </si>
  <si>
    <t>Political Stability</t>
  </si>
  <si>
    <t>Business Relevance</t>
  </si>
  <si>
    <t>Inflation Rate</t>
  </si>
  <si>
    <t>Main Risk for Cisco</t>
  </si>
  <si>
    <t>China</t>
  </si>
  <si>
    <t>India</t>
  </si>
  <si>
    <t>Germany</t>
  </si>
  <si>
    <t>AAA</t>
  </si>
  <si>
    <t>A+</t>
  </si>
  <si>
    <t>BBB</t>
  </si>
  <si>
    <t>AA+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</si>
  <si>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</si>
  <si>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</si>
  <si>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</si>
  <si>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</si>
  <si>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</si>
  <si>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</si>
  <si>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</si>
  <si>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</si>
  <si>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</si>
  <si>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</si>
  <si>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</si>
  <si>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</si>
  <si>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</si>
  <si>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</si>
  <si>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</si>
  <si>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</si>
  <si>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</si>
  <si>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</si>
  <si>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</si>
  <si>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</si>
  <si>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</si>
  <si>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</si>
  <si>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</si>
  <si>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</si>
  <si>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</si>
  <si>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</si>
  <si>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</si>
  <si>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</si>
  <si>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</si>
  <si>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</si>
  <si>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</si>
  <si>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</si>
  <si>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</si>
  <si>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</si>
  <si>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</si>
  <si>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</si>
  <si>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</si>
  <si>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</si>
  <si>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</si>
  <si>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</si>
  <si>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</si>
  <si>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</si>
  <si>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</si>
  <si>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</si>
  <si>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</si>
  <si>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</si>
  <si>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</si>
  <si>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</si>
  <si>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</si>
  <si>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</si>
  <si>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</si>
  <si>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</si>
  <si>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</si>
  <si>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</si>
  <si>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</si>
  <si>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</si>
  <si>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</si>
  <si>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</si>
  <si>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</si>
  <si>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</si>
  <si>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</si>
  <si>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</si>
  <si>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</si>
  <si>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</si>
  <si>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</si>
  <si>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</si>
  <si>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</si>
  <si>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</si>
  <si>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</si>
  <si>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</si>
  <si>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</si>
  <si>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</si>
  <si>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</si>
  <si>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</si>
  <si>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</si>
  <si>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Inflation, consumer prices (annual %)</t>
  </si>
  <si>
    <t>FP.CPI.TOTL.ZG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</si>
  <si>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</si>
  <si>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</si>
  <si>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</si>
  <si>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</si>
  <si>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</si>
  <si>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</si>
  <si>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</si>
  <si>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</si>
  <si>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</si>
  <si>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</si>
  <si>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</si>
  <si>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</si>
  <si>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</si>
  <si>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</si>
  <si>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</si>
  <si>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</si>
  <si>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</si>
  <si>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</si>
  <si>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</si>
  <si>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</si>
  <si>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</si>
  <si>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</si>
  <si>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</si>
  <si>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</si>
  <si>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</si>
  <si>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</si>
  <si>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</si>
  <si>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</si>
  <si>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</si>
  <si>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</si>
  <si>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</si>
  <si>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</si>
  <si>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</si>
  <si>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</si>
  <si>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</si>
  <si>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</si>
  <si>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</si>
  <si>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</si>
  <si>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</si>
  <si>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</si>
  <si>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</si>
  <si>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</si>
  <si>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</si>
  <si>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</si>
  <si>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</si>
  <si>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</si>
  <si>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</si>
  <si>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</si>
  <si>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</si>
  <si>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</si>
  <si>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</si>
  <si>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</si>
  <si>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</si>
  <si>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</si>
  <si>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</si>
  <si>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</si>
  <si>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</si>
  <si>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</si>
  <si>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</si>
  <si>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</si>
  <si>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</si>
  <si>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</si>
  <si>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</si>
  <si>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</si>
  <si>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</si>
  <si>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</si>
  <si>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</si>
  <si>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</si>
  <si>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</si>
  <si>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</si>
  <si>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</si>
  <si>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</si>
  <si>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</si>
  <si>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</si>
  <si>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</si>
  <si>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</si>
  <si>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</si>
  <si>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</si>
  <si>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</si>
  <si>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</si>
  <si>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</si>
  <si>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</si>
  <si>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</si>
  <si>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</si>
  <si>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</si>
  <si>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</si>
  <si>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</si>
  <si>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</si>
  <si>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</si>
  <si>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</si>
  <si>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</si>
  <si>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</si>
  <si>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</si>
  <si>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</si>
  <si>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</si>
  <si>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</si>
  <si>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</si>
  <si>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</si>
  <si>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</si>
  <si>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</si>
  <si>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</si>
  <si>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</si>
  <si>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</si>
  <si>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</si>
  <si>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</si>
  <si>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</si>
  <si>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</si>
  <si>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</si>
  <si>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</si>
  <si>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</si>
  <si>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</si>
  <si>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</si>
  <si>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</si>
  <si>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</si>
  <si>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</si>
  <si>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</si>
  <si>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</si>
  <si>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</si>
  <si>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</si>
  <si>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</si>
  <si>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</si>
  <si>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</si>
  <si>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</si>
  <si>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</si>
  <si>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</si>
  <si>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</si>
  <si>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</si>
  <si>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</si>
  <si>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</si>
  <si>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</si>
  <si>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</si>
  <si>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</si>
  <si>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</si>
  <si>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</si>
  <si>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</si>
  <si>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</si>
  <si>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</si>
  <si>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</si>
  <si>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</si>
  <si>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</si>
  <si>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</si>
  <si>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</si>
  <si>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</si>
  <si>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</si>
  <si>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</si>
  <si>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</si>
  <si>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</si>
  <si>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</si>
  <si>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</si>
  <si>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</si>
  <si>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</si>
  <si>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</si>
  <si>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</si>
  <si>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</si>
  <si>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</si>
  <si>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</si>
  <si>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</si>
  <si>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</si>
  <si>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</si>
  <si>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</si>
  <si>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</si>
  <si>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</si>
  <si>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</si>
  <si>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</si>
  <si>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</si>
  <si>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</si>
  <si>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</si>
  <si>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</si>
  <si>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</si>
  <si>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</si>
  <si>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</si>
  <si>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</si>
  <si>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</si>
  <si>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</si>
  <si>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</si>
  <si>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</si>
  <si>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</si>
  <si>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</si>
  <si>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</si>
  <si>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</si>
  <si>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</si>
  <si>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</si>
  <si>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</si>
  <si>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</si>
  <si>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</si>
  <si>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</si>
  <si>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</si>
  <si>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</si>
  <si>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</si>
  <si>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</si>
  <si>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</si>
  <si>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</si>
  <si>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</si>
  <si>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</si>
  <si>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</si>
  <si>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</si>
  <si>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</si>
  <si>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</si>
  <si>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</si>
  <si>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</si>
  <si>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</si>
  <si>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</si>
  <si>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</si>
  <si>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</si>
  <si>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</si>
  <si>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</si>
  <si>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</si>
  <si>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</si>
  <si>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</si>
  <si>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</si>
  <si>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</si>
  <si>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</si>
  <si>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</si>
  <si>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</si>
  <si>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</si>
  <si>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</si>
  <si>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</si>
  <si>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</si>
  <si>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</si>
  <si>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</si>
  <si>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</si>
  <si>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</si>
  <si>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</si>
  <si>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</si>
  <si>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</si>
  <si>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</si>
  <si>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</si>
  <si>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</si>
  <si>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</si>
  <si>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</si>
  <si>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</si>
  <si>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</si>
  <si>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</si>
  <si>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</si>
  <si>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</si>
  <si>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</si>
  <si>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</si>
  <si>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</si>
  <si>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</si>
  <si>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</si>
  <si>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</si>
  <si>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</si>
  <si>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</si>
  <si>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</si>
  <si>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</si>
  <si>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</si>
  <si>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</si>
  <si>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</si>
  <si>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</si>
  <si>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</si>
  <si>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</si>
  <si>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</si>
  <si>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</si>
  <si>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</si>
  <si>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</si>
  <si>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</si>
  <si>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</si>
  <si>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</si>
  <si>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</si>
  <si>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</si>
  <si>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</si>
  <si>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</si>
  <si>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</si>
  <si>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</si>
  <si>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</si>
  <si>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</si>
  <si>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</si>
  <si>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</si>
  <si>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</si>
  <si>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</si>
  <si>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</si>
  <si>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</si>
  <si>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</si>
  <si>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</si>
  <si>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</si>
  <si>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</si>
  <si>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</si>
  <si>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</si>
  <si>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</si>
  <si>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</si>
  <si>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</si>
  <si>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</si>
  <si>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</si>
  <si>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</si>
  <si>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</si>
  <si>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</si>
  <si>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</si>
  <si>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</si>
  <si>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</si>
  <si>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</si>
  <si>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</si>
  <si>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</si>
  <si>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</si>
  <si>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</si>
  <si>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</si>
  <si>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</si>
  <si>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</si>
  <si>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</si>
  <si>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</si>
  <si>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</si>
  <si>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</si>
  <si>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</si>
  <si>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</si>
  <si>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</si>
  <si>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</si>
  <si>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</si>
  <si>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</si>
  <si>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</si>
  <si>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</si>
  <si>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</si>
  <si>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</si>
  <si>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</si>
  <si>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</si>
  <si>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</si>
  <si>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</si>
  <si>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</si>
  <si>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</si>
  <si>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</si>
  <si>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</si>
  <si>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</si>
  <si>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</si>
  <si>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</si>
  <si>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</si>
  <si>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</si>
  <si>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</si>
  <si>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</si>
  <si>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</si>
  <si>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</si>
  <si>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</si>
  <si>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</si>
  <si>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</si>
  <si>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</si>
  <si>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</si>
  <si>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</si>
  <si>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</si>
  <si>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</si>
  <si>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</si>
  <si>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</si>
  <si>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</si>
  <si>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</si>
  <si>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</si>
  <si>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</si>
  <si>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</si>
  <si>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</si>
  <si>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</si>
  <si>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</si>
  <si>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</si>
  <si>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</si>
  <si>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</si>
  <si>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</si>
  <si>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</si>
  <si>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</si>
  <si>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</si>
  <si>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</si>
  <si>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</si>
  <si>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</si>
  <si>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</si>
  <si>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</si>
  <si>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</si>
  <si>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</si>
  <si>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</si>
  <si>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</si>
  <si>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</si>
  <si>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</si>
  <si>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</si>
  <si>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</si>
  <si>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</si>
  <si>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</si>
  <si>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</si>
  <si>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</si>
  <si>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</si>
  <si>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</si>
  <si>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</si>
  <si>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</si>
  <si>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</si>
  <si>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</si>
  <si>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</si>
  <si>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</si>
  <si>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</si>
  <si>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</si>
  <si>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</si>
  <si>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</si>
  <si>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</si>
  <si>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</si>
  <si>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</si>
  <si>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</si>
  <si>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</si>
  <si>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</si>
  <si>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</si>
  <si>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</si>
  <si>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</si>
  <si>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</si>
  <si>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</si>
  <si>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</si>
  <si>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</si>
  <si>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</si>
  <si>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</si>
  <si>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</si>
  <si>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</si>
  <si>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</si>
  <si>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</si>
  <si>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</si>
  <si>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</si>
  <si>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</si>
  <si>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</si>
  <si>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</si>
  <si>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</si>
  <si>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</si>
  <si>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</si>
  <si>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</si>
  <si>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</si>
  <si>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</si>
  <si>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</si>
  <si>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</si>
  <si>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</si>
  <si>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</si>
  <si>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</si>
  <si>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</si>
  <si>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</si>
  <si>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</si>
  <si>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</si>
  <si>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</si>
  <si>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</si>
  <si>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</si>
  <si>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</si>
  <si>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</si>
  <si>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</si>
  <si>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</si>
  <si>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</si>
  <si>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</si>
  <si>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</si>
  <si>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</si>
  <si>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</si>
  <si>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</si>
  <si>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</si>
  <si>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</si>
  <si>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</si>
  <si>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</si>
  <si>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</si>
  <si>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</si>
  <si>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</si>
  <si>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</si>
  <si>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</si>
  <si>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</si>
  <si>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</si>
  <si>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</si>
  <si>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</si>
  <si>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</si>
  <si>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</si>
  <si>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</si>
  <si>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</si>
  <si>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</si>
  <si>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</si>
  <si>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</si>
  <si>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</si>
  <si>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</si>
  <si>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</si>
  <si>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</si>
  <si>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</si>
  <si>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</si>
  <si>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</si>
  <si>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</si>
  <si>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</si>
  <si>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</si>
  <si>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</si>
  <si>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</si>
  <si>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</si>
  <si>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</si>
  <si>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</si>
  <si>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</si>
  <si>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</si>
  <si>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</si>
  <si>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</si>
  <si>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</si>
  <si>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</si>
  <si>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</si>
  <si>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</si>
  <si>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</si>
  <si>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</si>
  <si>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</si>
  <si>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</si>
  <si>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</si>
  <si>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</si>
  <si>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</si>
  <si>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</si>
  <si>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</si>
  <si>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</si>
  <si>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</si>
  <si>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</si>
  <si>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</si>
  <si>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</si>
  <si>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</si>
  <si>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</si>
  <si>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</si>
  <si>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</si>
  <si>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</si>
  <si>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</si>
  <si>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</si>
  <si>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</si>
  <si>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</si>
  <si>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</si>
  <si>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</si>
  <si>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</si>
  <si>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</si>
  <si>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</si>
  <si>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</si>
  <si>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</si>
  <si>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</si>
  <si>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</si>
  <si>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</si>
  <si>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</si>
  <si>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</si>
  <si>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</si>
  <si>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</si>
  <si>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</si>
  <si>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</si>
  <si>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</si>
  <si>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</si>
  <si>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</si>
  <si>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</si>
  <si>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</si>
  <si>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</si>
  <si>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</si>
  <si>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</si>
  <si>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</si>
  <si>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BBB-</t>
  </si>
  <si>
    <t>Africa</t>
  </si>
  <si>
    <t>Moody's rating</t>
  </si>
  <si>
    <t>Rating-based Default Spread</t>
  </si>
  <si>
    <t>Total Equity Risk Premium</t>
  </si>
  <si>
    <t>Sovereign CDS, net of Swiss CDS</t>
  </si>
  <si>
    <t>A1</t>
  </si>
  <si>
    <t>A2</t>
  </si>
  <si>
    <t>A3</t>
  </si>
  <si>
    <t>Aa1</t>
  </si>
  <si>
    <t>Aa2</t>
  </si>
  <si>
    <t>Aa3</t>
  </si>
  <si>
    <t>Aaa</t>
  </si>
  <si>
    <t>B1</t>
  </si>
  <si>
    <t>B2</t>
  </si>
  <si>
    <t>B3</t>
  </si>
  <si>
    <t>Ba1</t>
  </si>
  <si>
    <t>Ba2</t>
  </si>
  <si>
    <t>Ba3</t>
  </si>
  <si>
    <t>Baa1</t>
  </si>
  <si>
    <t>Baa2</t>
  </si>
  <si>
    <t>Baa3</t>
  </si>
  <si>
    <t>C</t>
  </si>
  <si>
    <t>Ca</t>
  </si>
  <si>
    <t>NR</t>
  </si>
  <si>
    <t>Abu Dhabi</t>
  </si>
  <si>
    <t>Middle East</t>
  </si>
  <si>
    <t>Eastern Europe &amp; Russia</t>
  </si>
  <si>
    <t>NA</t>
  </si>
  <si>
    <t>Andorra (Principality of)</t>
  </si>
  <si>
    <t>Western Europe</t>
  </si>
  <si>
    <t>Central and South America</t>
  </si>
  <si>
    <t>Caa1</t>
  </si>
  <si>
    <t>Caribbean</t>
  </si>
  <si>
    <t>Australia &amp; New Zealand</t>
  </si>
  <si>
    <t>Bahamas</t>
  </si>
  <si>
    <t>Asia</t>
  </si>
  <si>
    <t>Caa2</t>
  </si>
  <si>
    <t>Caa3</t>
  </si>
  <si>
    <t>Cape Verde</t>
  </si>
  <si>
    <t>Congo (Democratic Republic of)</t>
  </si>
  <si>
    <t>Congo (Republic of)</t>
  </si>
  <si>
    <t>Cook Islands</t>
  </si>
  <si>
    <t>Côte d'Ivoire</t>
  </si>
  <si>
    <t>Czech Republic</t>
  </si>
  <si>
    <t>Egypt</t>
  </si>
  <si>
    <t>Guernsey (States of)</t>
  </si>
  <si>
    <t>Hong Kong</t>
  </si>
  <si>
    <t>Jersey (States of)</t>
  </si>
  <si>
    <t>Korea</t>
  </si>
  <si>
    <t>Kyrgyzstan</t>
  </si>
  <si>
    <t>Laos</t>
  </si>
  <si>
    <t>Macao</t>
  </si>
  <si>
    <t>Macedonia</t>
  </si>
  <si>
    <t>Montserrat</t>
  </si>
  <si>
    <t>Ras Al Khaimah (Emirate of)</t>
  </si>
  <si>
    <t>Sharjah</t>
  </si>
  <si>
    <t>Slovakia</t>
  </si>
  <si>
    <t>St. Maarten</t>
  </si>
  <si>
    <t>St. Vincent &amp; the Grenadines</t>
  </si>
  <si>
    <t>Swaziland</t>
  </si>
  <si>
    <t>Taiwan</t>
  </si>
  <si>
    <t>Turkey</t>
  </si>
  <si>
    <t>Venezuela</t>
  </si>
  <si>
    <t>Vietnam</t>
  </si>
  <si>
    <t>Headquarters and largest revenue market</t>
  </si>
  <si>
    <t>Supply chain and APJC operations</t>
  </si>
  <si>
    <t>R&amp;D hub and growth market</t>
  </si>
  <si>
    <t>Key EMEA commercial market</t>
  </si>
  <si>
    <t>High</t>
  </si>
  <si>
    <t>Medium</t>
  </si>
  <si>
    <t>Slower IT spending and interest rates</t>
  </si>
  <si>
    <t>Geopolitical tensions and trade restrictions</t>
  </si>
  <si>
    <t>Regulatory complexity and inflation</t>
  </si>
  <si>
    <t>Weak economic growth in Europe</t>
  </si>
  <si>
    <t>Paese</t>
  </si>
  <si>
    <t>S&amp;P</t>
  </si>
  <si>
    <t>CDS 5Y▴</t>
  </si>
  <si>
    <t>Svezia</t>
  </si>
  <si>
    <t>Svizzera</t>
  </si>
  <si>
    <t>Paesi Bassi</t>
  </si>
  <si>
    <t>Danimarca</t>
  </si>
  <si>
    <t>Germania</t>
  </si>
  <si>
    <t>Finlandia</t>
  </si>
  <si>
    <t>Irlanda</t>
  </si>
  <si>
    <t>Portogallo</t>
  </si>
  <si>
    <t>Spagna</t>
  </si>
  <si>
    <t>Belgio</t>
  </si>
  <si>
    <t>AA-</t>
  </si>
  <si>
    <t>Regno Unito</t>
  </si>
  <si>
    <t>AA</t>
  </si>
  <si>
    <t>Giappone</t>
  </si>
  <si>
    <t>Francia</t>
  </si>
  <si>
    <t>Corea del Sud</t>
  </si>
  <si>
    <t>Italia</t>
  </si>
  <si>
    <t>BBB+</t>
  </si>
  <si>
    <t>Grecia</t>
  </si>
  <si>
    <t>Stati Uniti</t>
  </si>
  <si>
    <t>Cina</t>
  </si>
  <si>
    <t>Israele</t>
  </si>
  <si>
    <t>A</t>
  </si>
  <si>
    <t>Messico</t>
  </si>
  <si>
    <t>Brasile</t>
  </si>
  <si>
    <t>BB</t>
  </si>
  <si>
    <t>Sud Africa</t>
  </si>
  <si>
    <t>Turchia</t>
  </si>
  <si>
    <t>BB-</t>
  </si>
  <si>
    <t>Egitto</t>
  </si>
  <si>
    <t>B</t>
  </si>
  <si>
    <t>Russia</t>
  </si>
  <si>
    <t>CDS Spread (5Y, bps)</t>
  </si>
  <si>
    <t>Date</t>
  </si>
  <si>
    <t>Cisco Price</t>
  </si>
  <si>
    <t>S&amp;P500 Price</t>
  </si>
  <si>
    <t>Cisco Return</t>
  </si>
  <si>
    <t>Market Return</t>
  </si>
  <si>
    <t>01.01.2024</t>
  </si>
  <si>
    <t>381,56M</t>
  </si>
  <si>
    <t>422,74M</t>
  </si>
  <si>
    <t>411,62M</t>
  </si>
  <si>
    <t>381,83M</t>
  </si>
  <si>
    <t>450,79M</t>
  </si>
  <si>
    <t>01.06.2024</t>
  </si>
  <si>
    <t>402,22M</t>
  </si>
  <si>
    <t>402,75M</t>
  </si>
  <si>
    <t>456,96M</t>
  </si>
  <si>
    <t>01.09.2024</t>
  </si>
  <si>
    <t>357,89M</t>
  </si>
  <si>
    <t>350,54M</t>
  </si>
  <si>
    <t>409,95M</t>
  </si>
  <si>
    <t>01.12.2024</t>
  </si>
  <si>
    <t>412,76M</t>
  </si>
  <si>
    <t>01.01.2025</t>
  </si>
  <si>
    <t>379,92M</t>
  </si>
  <si>
    <t>01.02.2025</t>
  </si>
  <si>
    <t>396,30M</t>
  </si>
  <si>
    <t>01.03.2025</t>
  </si>
  <si>
    <t>500,28M</t>
  </si>
  <si>
    <t>543,74M</t>
  </si>
  <si>
    <t>428,45M</t>
  </si>
  <si>
    <t>01.06.2025</t>
  </si>
  <si>
    <t>432,31M</t>
  </si>
  <si>
    <t>374,54M</t>
  </si>
  <si>
    <t>468,63M</t>
  </si>
  <si>
    <t>01.09.2025</t>
  </si>
  <si>
    <t>398,49M</t>
  </si>
  <si>
    <t>399,86M</t>
  </si>
  <si>
    <t>01.11.2025</t>
  </si>
  <si>
    <t>491,36M</t>
  </si>
  <si>
    <t>426,27M</t>
  </si>
  <si>
    <t>1,70B</t>
  </si>
  <si>
    <t>1,39B</t>
  </si>
  <si>
    <t>1,47B</t>
  </si>
  <si>
    <t>1,59B</t>
  </si>
  <si>
    <t>1,15B</t>
  </si>
  <si>
    <t>888,92M</t>
  </si>
  <si>
    <t>1,04B</t>
  </si>
  <si>
    <t>1,24B</t>
  </si>
  <si>
    <t>1,05B</t>
  </si>
  <si>
    <t>976,13M</t>
  </si>
  <si>
    <t>901,84M</t>
  </si>
  <si>
    <t>1,06B</t>
  </si>
  <si>
    <t>995,61M</t>
  </si>
  <si>
    <t>871,64M</t>
  </si>
  <si>
    <t>1,50B</t>
  </si>
  <si>
    <t>2,24B</t>
  </si>
  <si>
    <t>1,40B</t>
  </si>
  <si>
    <t>1,48B</t>
  </si>
  <si>
    <t>1,42B</t>
  </si>
  <si>
    <t>1,61B</t>
  </si>
  <si>
    <t>1,78B</t>
  </si>
  <si>
    <t>1,66B</t>
  </si>
  <si>
    <t>Risk Free Rate (US 10Y Treasury Yield)</t>
  </si>
  <si>
    <t>Beta</t>
  </si>
  <si>
    <r>
      <rPr>
        <b/>
        <sz val="11"/>
        <color theme="1"/>
        <rFont val="Calibri"/>
        <family val="2"/>
        <scheme val="minor"/>
      </rPr>
      <t>Cost of Equity</t>
    </r>
    <r>
      <rPr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 xml:space="preserve">ke </t>
    </r>
  </si>
  <si>
    <t>Market Risk Premium (Rm − Rf)</t>
  </si>
  <si>
    <t>Value</t>
  </si>
  <si>
    <t>Interest Expense 2025</t>
  </si>
  <si>
    <t>Debt 2025</t>
  </si>
  <si>
    <t>Debt 2024</t>
  </si>
  <si>
    <t>Average Debt</t>
  </si>
  <si>
    <t>Cost of Debt kd</t>
  </si>
  <si>
    <t>Cost of Equity (ke)</t>
  </si>
  <si>
    <t>Cost of Debt (kd)</t>
  </si>
  <si>
    <t>Tax Rate (t)</t>
  </si>
  <si>
    <t>Equity Value (EqV)</t>
  </si>
  <si>
    <t>Financial Debt (FD)</t>
  </si>
  <si>
    <t>Total Capital</t>
  </si>
  <si>
    <t>Equity Weight</t>
  </si>
  <si>
    <t>Debt Weight</t>
  </si>
  <si>
    <t>After-tax Cost of Debt</t>
  </si>
  <si>
    <t>WACC</t>
  </si>
  <si>
    <t>CapEx</t>
  </si>
  <si>
    <t>Working Capital</t>
  </si>
  <si>
    <t>ΔWC</t>
  </si>
  <si>
    <t>Net Borrowing</t>
  </si>
  <si>
    <t>FCFE</t>
  </si>
  <si>
    <t>FCFF</t>
  </si>
  <si>
    <t>t</t>
  </si>
  <si>
    <t>1-t</t>
  </si>
  <si>
    <t>Assumption</t>
  </si>
  <si>
    <t>Terminal Growth Rate</t>
  </si>
  <si>
    <t>Cost of Equity</t>
  </si>
  <si>
    <t>Forecast FCFE</t>
  </si>
  <si>
    <t>Forecast FCFF</t>
  </si>
  <si>
    <t>Historical Revenue CAGR</t>
  </si>
  <si>
    <t>Forecast Growth Rate</t>
  </si>
  <si>
    <t>Nominal US GDP growth</t>
  </si>
  <si>
    <t>PV FCFE</t>
  </si>
  <si>
    <t>PV FCFF</t>
  </si>
  <si>
    <t>Discount Factor</t>
  </si>
  <si>
    <t>Terminal Value</t>
  </si>
  <si>
    <t>PV Terminal Value</t>
  </si>
  <si>
    <t>Total PV Forecast Cash Flows</t>
  </si>
  <si>
    <t>Cash &amp; Equivalent</t>
  </si>
  <si>
    <t>Equity Value from FCFF</t>
  </si>
  <si>
    <t>Valuation Method</t>
  </si>
  <si>
    <t>Equity Value (FCFE)</t>
  </si>
  <si>
    <t>Enterprise Value (FCFF)</t>
  </si>
  <si>
    <t>Equity Value from FCFE</t>
  </si>
  <si>
    <t>Market Capitalization</t>
  </si>
  <si>
    <t>Debt Coverage Ratio</t>
  </si>
  <si>
    <t>Net Profit Margin (+5%)</t>
  </si>
  <si>
    <t>Covariance (Rm, Ri)</t>
  </si>
  <si>
    <t>Variance (Rm)</t>
  </si>
  <si>
    <t>CISCO SYSTEMS, INC. Consolidated Balance Sheets 2021/2020 (in millions, except par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</si>
</sst>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_ ;\-#,##0\ "/>
    <numFmt numFmtId="165" formatCode="_(&quot;$&quot;* #,##0_);_(&quot;$&quot;* \(#,##0\);_(&quot;$&quot;* &quot;-&quot;_);_(@_)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0.000"/>
    <numFmt numFmtId="169" formatCode="_-* #,##0.00\ _€_-;\-* #,##0.00\ _€_-;_-* &quot;-&quot;??\ _€_-;_-@_-"/>
    <numFmt numFmtId="170" formatCode="_-* #,##0.00_-;\-* #,##0.00_-;_-* &quot;-&quot;_-;_-@_-"/>
    <numFmt numFmtId="171" formatCode="0.000%"/>
    <numFmt numFmtId="172" formatCode="0.0000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1E4F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5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/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  <border>
      <left/>
      <right style="thin">
        <color theme="4" tint="0.5999938962981048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59999389629810485"/>
      </top>
      <bottom/>
      <diagonal/>
    </border>
    <border>
      <left/>
      <right style="thin">
        <color theme="4" tint="0.59999389629810485"/>
      </right>
      <top style="thin">
        <color theme="4" tint="0.59999389629810485"/>
      </top>
      <bottom/>
      <diagonal/>
    </border>
    <border>
      <left/>
      <right/>
      <top/>
      <bottom style="thin">
        <color theme="4" tint="0.59999389629810485"/>
      </bottom>
      <diagonal/>
    </border>
    <border>
      <left/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4" tint="0.59999389629810485"/>
      </left>
      <right style="thin">
        <color theme="4" tint="0.79998168889431442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79998168889431442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5"/>
      </left>
      <right style="thin">
        <color theme="4" tint="0.59999389629810485"/>
      </right>
      <top style="thin">
        <color theme="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5"/>
      </right>
      <top style="thin">
        <color theme="5"/>
      </top>
      <bottom style="thin">
        <color theme="4" tint="0.59999389629810485"/>
      </bottom>
      <diagonal/>
    </border>
    <border>
      <left style="thin">
        <color theme="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5"/>
      </left>
      <right style="thin">
        <color theme="4" tint="0.59999389629810485"/>
      </right>
      <top style="thin">
        <color theme="4" tint="0.59999389629810485"/>
      </top>
      <bottom style="thin">
        <color theme="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5"/>
      </bottom>
      <diagonal/>
    </border>
    <border>
      <left style="thin">
        <color theme="4" tint="0.59999389629810485"/>
      </left>
      <right style="thin">
        <color theme="5"/>
      </right>
      <top style="thin">
        <color theme="4" tint="0.5999938962981048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4" tint="0.59999389629810485"/>
      </left>
      <right/>
      <top style="thin">
        <color theme="5"/>
      </top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 style="thin">
        <color theme="4"/>
      </left>
      <right style="thin">
        <color theme="4" tint="0.59999389629810485"/>
      </right>
      <top style="thin">
        <color theme="4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/>
      </right>
      <top style="thin">
        <color theme="4"/>
      </top>
      <bottom style="thin">
        <color theme="4" tint="0.59999389629810485"/>
      </bottom>
      <diagonal/>
    </border>
    <border>
      <left style="thin">
        <color theme="4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/>
      </left>
      <right style="thin">
        <color theme="4" tint="0.59999389629810485"/>
      </right>
      <top style="thin">
        <color theme="4" tint="0.59999389629810485"/>
      </top>
      <bottom style="thin">
        <color theme="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/>
      </bottom>
      <diagonal/>
    </border>
    <border>
      <left style="thin">
        <color theme="4" tint="0.59999389629810485"/>
      </left>
      <right style="thin">
        <color theme="4"/>
      </right>
      <top style="thin">
        <color theme="4" tint="0.59999389629810485"/>
      </top>
      <bottom style="thin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1" applyNumberFormat="1" applyFont="1" applyAlignment="1">
      <alignment vertical="center" wrapText="1"/>
    </xf>
    <xf numFmtId="10" fontId="0" fillId="0" borderId="0" xfId="1" applyNumberFormat="1" applyFont="1"/>
    <xf numFmtId="0" fontId="2" fillId="0" borderId="0" xfId="0" applyFont="1" applyAlignment="1">
      <alignment vertical="center" wrapText="1"/>
    </xf>
    <xf numFmtId="2" fontId="0" fillId="0" borderId="0" xfId="0" applyNumberFormat="1"/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164" fontId="0" fillId="0" borderId="0" xfId="2" applyNumberFormat="1" applyFont="1" applyAlignment="1">
      <alignment vertical="center" wrapText="1"/>
    </xf>
    <xf numFmtId="164" fontId="0" fillId="0" borderId="0" xfId="2" applyNumberFormat="1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4" fillId="0" borderId="0" xfId="2" applyNumberFormat="1" applyFont="1" applyAlignment="1">
      <alignment vertical="center"/>
    </xf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vertical="top"/>
    </xf>
    <xf numFmtId="37" fontId="8" fillId="0" borderId="0" xfId="0" applyNumberFormat="1" applyFont="1" applyAlignment="1">
      <alignment vertical="top"/>
    </xf>
    <xf numFmtId="166" fontId="8" fillId="0" borderId="0" xfId="0" applyNumberFormat="1" applyFont="1" applyAlignment="1">
      <alignment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165" fontId="6" fillId="0" borderId="0" xfId="0" applyNumberFormat="1" applyFont="1" applyAlignment="1">
      <alignment vertical="top"/>
    </xf>
    <xf numFmtId="37" fontId="6" fillId="0" borderId="0" xfId="0" applyNumberFormat="1" applyFont="1" applyAlignment="1">
      <alignment vertical="top"/>
    </xf>
    <xf numFmtId="167" fontId="8" fillId="0" borderId="0" xfId="0" applyNumberFormat="1" applyFont="1" applyAlignment="1">
      <alignment vertical="top"/>
    </xf>
    <xf numFmtId="3" fontId="0" fillId="0" borderId="0" xfId="0" applyNumberFormat="1"/>
    <xf numFmtId="0" fontId="0" fillId="3" borderId="1" xfId="0" applyFill="1" applyBorder="1" applyAlignment="1">
      <alignment vertical="center" wrapText="1"/>
    </xf>
    <xf numFmtId="3" fontId="0" fillId="3" borderId="2" xfId="0" applyNumberFormat="1" applyFill="1" applyBorder="1" applyAlignment="1">
      <alignment vertical="center" wrapText="1"/>
    </xf>
    <xf numFmtId="10" fontId="0" fillId="3" borderId="2" xfId="1" applyNumberFormat="1" applyFont="1" applyFill="1" applyBorder="1" applyAlignment="1">
      <alignment vertical="center" wrapText="1"/>
    </xf>
    <xf numFmtId="10" fontId="0" fillId="3" borderId="3" xfId="1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10" fontId="0" fillId="0" borderId="2" xfId="1" applyNumberFormat="1" applyFont="1" applyBorder="1" applyAlignment="1">
      <alignment vertical="center" wrapText="1"/>
    </xf>
    <xf numFmtId="10" fontId="0" fillId="0" borderId="3" xfId="1" applyNumberFormat="1" applyFont="1" applyBorder="1" applyAlignment="1">
      <alignment vertical="center" wrapText="1"/>
    </xf>
    <xf numFmtId="37" fontId="8" fillId="0" borderId="0" xfId="0" applyNumberFormat="1" applyFont="1" applyAlignment="1">
      <alignment vertical="center"/>
    </xf>
    <xf numFmtId="0" fontId="2" fillId="0" borderId="0" xfId="0" applyFont="1"/>
    <xf numFmtId="10" fontId="0" fillId="0" borderId="0" xfId="1" applyNumberFormat="1" applyFont="1" applyFill="1" applyBorder="1" applyAlignment="1">
      <alignment vertical="center" wrapText="1"/>
    </xf>
    <xf numFmtId="37" fontId="6" fillId="0" borderId="0" xfId="0" applyNumberFormat="1" applyFont="1" applyAlignment="1">
      <alignment vertical="center"/>
    </xf>
    <xf numFmtId="0" fontId="2" fillId="0" borderId="0" xfId="0" applyFont="1" applyAlignment="1">
      <alignment vertical="top"/>
    </xf>
    <xf numFmtId="168" fontId="9" fillId="0" borderId="0" xfId="0" applyNumberFormat="1" applyFont="1"/>
    <xf numFmtId="3" fontId="0" fillId="3" borderId="2" xfId="0" applyNumberFormat="1" applyFill="1" applyBorder="1"/>
    <xf numFmtId="3" fontId="0" fillId="0" borderId="2" xfId="0" applyNumberFormat="1" applyBorder="1"/>
    <xf numFmtId="164" fontId="0" fillId="0" borderId="2" xfId="0" applyNumberFormat="1" applyBorder="1" applyAlignment="1">
      <alignment vertical="center" wrapText="1"/>
    </xf>
    <xf numFmtId="164" fontId="0" fillId="0" borderId="2" xfId="2" applyNumberFormat="1" applyFont="1" applyBorder="1" applyAlignment="1">
      <alignment vertical="center" wrapText="1"/>
    </xf>
    <xf numFmtId="164" fontId="4" fillId="0" borderId="2" xfId="2" applyNumberFormat="1" applyFont="1" applyBorder="1" applyAlignment="1">
      <alignment vertical="center"/>
    </xf>
    <xf numFmtId="10" fontId="9" fillId="0" borderId="0" xfId="1" applyNumberFormat="1" applyFont="1"/>
    <xf numFmtId="164" fontId="0" fillId="0" borderId="2" xfId="2" applyNumberFormat="1" applyFont="1" applyFill="1" applyBorder="1" applyAlignment="1">
      <alignment vertical="center" wrapText="1"/>
    </xf>
    <xf numFmtId="10" fontId="0" fillId="0" borderId="0" xfId="0" applyNumberFormat="1"/>
    <xf numFmtId="169" fontId="0" fillId="0" borderId="0" xfId="0" applyNumberFormat="1"/>
    <xf numFmtId="0" fontId="5" fillId="4" borderId="0" xfId="0" applyFont="1" applyFill="1" applyAlignment="1">
      <alignment horizontal="center" vertical="center" wrapText="1"/>
    </xf>
    <xf numFmtId="43" fontId="0" fillId="0" borderId="0" xfId="0" applyNumberFormat="1"/>
    <xf numFmtId="168" fontId="0" fillId="0" borderId="0" xfId="0" applyNumberFormat="1"/>
    <xf numFmtId="170" fontId="0" fillId="0" borderId="0" xfId="0" applyNumberFormat="1"/>
    <xf numFmtId="0" fontId="2" fillId="5" borderId="6" xfId="0" applyFont="1" applyFill="1" applyBorder="1"/>
    <xf numFmtId="43" fontId="0" fillId="5" borderId="6" xfId="0" applyNumberFormat="1" applyFill="1" applyBorder="1"/>
    <xf numFmtId="168" fontId="0" fillId="5" borderId="6" xfId="0" applyNumberFormat="1" applyFill="1" applyBorder="1"/>
    <xf numFmtId="164" fontId="0" fillId="3" borderId="6" xfId="2" applyNumberFormat="1" applyFont="1" applyFill="1" applyBorder="1" applyAlignment="1">
      <alignment vertical="center" wrapText="1"/>
    </xf>
    <xf numFmtId="3" fontId="0" fillId="3" borderId="6" xfId="0" applyNumberFormat="1" applyFill="1" applyBorder="1"/>
    <xf numFmtId="170" fontId="0" fillId="5" borderId="6" xfId="0" applyNumberFormat="1" applyFill="1" applyBorder="1"/>
    <xf numFmtId="164" fontId="0" fillId="0" borderId="0" xfId="2" applyNumberFormat="1" applyFont="1" applyBorder="1" applyAlignment="1">
      <alignment vertical="center" wrapText="1"/>
    </xf>
    <xf numFmtId="164" fontId="4" fillId="3" borderId="6" xfId="2" applyNumberFormat="1" applyFont="1" applyFill="1" applyBorder="1" applyAlignment="1">
      <alignment vertical="center"/>
    </xf>
    <xf numFmtId="0" fontId="0" fillId="5" borderId="5" xfId="0" applyFill="1" applyBorder="1"/>
    <xf numFmtId="0" fontId="0" fillId="0" borderId="8" xfId="0" applyBorder="1"/>
    <xf numFmtId="3" fontId="0" fillId="5" borderId="5" xfId="0" applyNumberFormat="1" applyFill="1" applyBorder="1" applyAlignment="1">
      <alignment vertical="center" wrapText="1"/>
    </xf>
    <xf numFmtId="3" fontId="0" fillId="0" borderId="8" xfId="0" applyNumberFormat="1" applyBorder="1" applyAlignment="1">
      <alignment vertical="center" wrapText="1"/>
    </xf>
    <xf numFmtId="168" fontId="0" fillId="5" borderId="5" xfId="0" applyNumberFormat="1" applyFill="1" applyBorder="1"/>
    <xf numFmtId="168" fontId="0" fillId="0" borderId="8" xfId="0" applyNumberFormat="1" applyBorder="1"/>
    <xf numFmtId="2" fontId="0" fillId="5" borderId="5" xfId="0" applyNumberFormat="1" applyFill="1" applyBorder="1" applyAlignment="1">
      <alignment vertical="center"/>
    </xf>
    <xf numFmtId="2" fontId="0" fillId="0" borderId="8" xfId="0" applyNumberFormat="1" applyBorder="1" applyAlignment="1">
      <alignment vertical="center"/>
    </xf>
    <xf numFmtId="3" fontId="0" fillId="3" borderId="7" xfId="0" applyNumberFormat="1" applyFill="1" applyBorder="1" applyAlignment="1">
      <alignment vertical="center" wrapText="1"/>
    </xf>
    <xf numFmtId="3" fontId="0" fillId="0" borderId="9" xfId="0" applyNumberFormat="1" applyBorder="1" applyAlignment="1">
      <alignment vertical="center" wrapText="1"/>
    </xf>
    <xf numFmtId="3" fontId="0" fillId="3" borderId="5" xfId="0" applyNumberFormat="1" applyFill="1" applyBorder="1" applyAlignment="1">
      <alignment vertical="center" wrapText="1"/>
    </xf>
    <xf numFmtId="10" fontId="0" fillId="5" borderId="5" xfId="1" applyNumberFormat="1" applyFont="1" applyFill="1" applyBorder="1"/>
    <xf numFmtId="10" fontId="0" fillId="0" borderId="8" xfId="1" applyNumberFormat="1" applyFont="1" applyBorder="1"/>
    <xf numFmtId="14" fontId="0" fillId="0" borderId="0" xfId="0" applyNumberFormat="1"/>
    <xf numFmtId="0" fontId="9" fillId="0" borderId="0" xfId="0" applyFont="1"/>
    <xf numFmtId="0" fontId="9" fillId="6" borderId="0" xfId="0" applyFont="1" applyFill="1"/>
    <xf numFmtId="16" fontId="0" fillId="0" borderId="0" xfId="0" applyNumberFormat="1"/>
    <xf numFmtId="0" fontId="9" fillId="0" borderId="0" xfId="0" applyFont="1" applyAlignment="1">
      <alignment vertical="center" wrapText="1"/>
    </xf>
    <xf numFmtId="10" fontId="9" fillId="0" borderId="0" xfId="0" applyNumberFormat="1" applyFont="1"/>
    <xf numFmtId="0" fontId="0" fillId="0" borderId="18" xfId="0" applyBorder="1" applyAlignment="1">
      <alignment vertical="center" wrapText="1"/>
    </xf>
    <xf numFmtId="0" fontId="9" fillId="0" borderId="8" xfId="0" applyFont="1" applyBorder="1" applyAlignment="1">
      <alignment horizontal="center"/>
    </xf>
    <xf numFmtId="10" fontId="9" fillId="0" borderId="8" xfId="0" applyNumberFormat="1" applyFont="1" applyBorder="1"/>
    <xf numFmtId="0" fontId="9" fillId="0" borderId="8" xfId="0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right"/>
    </xf>
    <xf numFmtId="49" fontId="9" fillId="0" borderId="0" xfId="0" applyNumberFormat="1" applyFont="1" applyAlignment="1">
      <alignment vertical="center" wrapText="1"/>
    </xf>
    <xf numFmtId="49" fontId="2" fillId="0" borderId="9" xfId="0" applyNumberFormat="1" applyFont="1" applyBorder="1" applyAlignment="1">
      <alignment vertical="center" wrapText="1"/>
    </xf>
    <xf numFmtId="49" fontId="5" fillId="7" borderId="19" xfId="0" applyNumberFormat="1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1" fillId="0" borderId="0" xfId="0" applyFont="1"/>
    <xf numFmtId="0" fontId="10" fillId="0" borderId="0" xfId="0" applyFont="1"/>
    <xf numFmtId="0" fontId="4" fillId="0" borderId="14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10" fontId="4" fillId="0" borderId="10" xfId="1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6" borderId="14" xfId="0" applyFont="1" applyFill="1" applyBorder="1" applyAlignment="1">
      <alignment horizontal="left"/>
    </xf>
    <xf numFmtId="0" fontId="10" fillId="6" borderId="10" xfId="0" applyFont="1" applyFill="1" applyBorder="1" applyAlignment="1">
      <alignment horizontal="left"/>
    </xf>
    <xf numFmtId="0" fontId="10" fillId="6" borderId="10" xfId="0" applyFont="1" applyFill="1" applyBorder="1" applyAlignment="1">
      <alignment horizontal="center"/>
    </xf>
    <xf numFmtId="10" fontId="10" fillId="6" borderId="10" xfId="1" applyNumberFormat="1" applyFont="1" applyFill="1" applyBorder="1" applyAlignment="1">
      <alignment horizontal="center"/>
    </xf>
    <xf numFmtId="10" fontId="10" fillId="6" borderId="15" xfId="0" applyNumberFormat="1" applyFont="1" applyFill="1" applyBorder="1" applyAlignment="1">
      <alignment horizontal="center"/>
    </xf>
    <xf numFmtId="0" fontId="10" fillId="6" borderId="0" xfId="0" applyFont="1" applyFill="1"/>
    <xf numFmtId="0" fontId="0" fillId="6" borderId="0" xfId="0" applyFill="1"/>
    <xf numFmtId="49" fontId="2" fillId="0" borderId="7" xfId="0" applyNumberFormat="1" applyFont="1" applyBorder="1" applyAlignment="1">
      <alignment vertical="center" wrapText="1"/>
    </xf>
    <xf numFmtId="49" fontId="9" fillId="0" borderId="6" xfId="0" applyNumberFormat="1" applyFont="1" applyBorder="1" applyAlignment="1">
      <alignment vertical="center" wrapText="1"/>
    </xf>
    <xf numFmtId="0" fontId="9" fillId="0" borderId="5" xfId="0" applyFont="1" applyBorder="1" applyAlignment="1">
      <alignment horizontal="center"/>
    </xf>
    <xf numFmtId="2" fontId="9" fillId="0" borderId="6" xfId="0" applyNumberFormat="1" applyFont="1" applyBorder="1" applyAlignment="1">
      <alignment horizontal="right"/>
    </xf>
    <xf numFmtId="10" fontId="9" fillId="0" borderId="5" xfId="0" applyNumberFormat="1" applyFont="1" applyBorder="1"/>
    <xf numFmtId="10" fontId="9" fillId="0" borderId="6" xfId="0" applyNumberFormat="1" applyFont="1" applyBorder="1"/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49" fontId="2" fillId="0" borderId="17" xfId="0" applyNumberFormat="1" applyFont="1" applyBorder="1" applyAlignment="1">
      <alignment vertical="center" wrapText="1"/>
    </xf>
    <xf numFmtId="49" fontId="9" fillId="0" borderId="16" xfId="0" applyNumberFormat="1" applyFont="1" applyBorder="1" applyAlignment="1">
      <alignment vertical="center" wrapText="1"/>
    </xf>
    <xf numFmtId="0" fontId="9" fillId="0" borderId="20" xfId="0" applyFont="1" applyBorder="1" applyAlignment="1">
      <alignment horizontal="center"/>
    </xf>
    <xf numFmtId="2" fontId="9" fillId="0" borderId="16" xfId="0" applyNumberFormat="1" applyFont="1" applyBorder="1" applyAlignment="1">
      <alignment horizontal="right"/>
    </xf>
    <xf numFmtId="10" fontId="9" fillId="0" borderId="20" xfId="0" applyNumberFormat="1" applyFont="1" applyBorder="1"/>
    <xf numFmtId="10" fontId="9" fillId="0" borderId="16" xfId="0" applyNumberFormat="1" applyFont="1" applyBorder="1"/>
    <xf numFmtId="0" fontId="9" fillId="0" borderId="20" xfId="0" applyFont="1" applyBorder="1" applyAlignment="1">
      <alignment horizontal="center" vertical="center" wrapText="1"/>
    </xf>
    <xf numFmtId="0" fontId="9" fillId="0" borderId="16" xfId="0" applyFont="1" applyBorder="1" applyAlignment="1">
      <alignment vertical="center" wrapText="1"/>
    </xf>
    <xf numFmtId="171" fontId="0" fillId="0" borderId="0" xfId="1" applyNumberFormat="1" applyFont="1"/>
    <xf numFmtId="10" fontId="10" fillId="0" borderId="0" xfId="1" applyNumberFormat="1" applyFont="1" applyFill="1" applyBorder="1" applyAlignment="1">
      <alignment horizontal="center"/>
    </xf>
    <xf numFmtId="10" fontId="2" fillId="0" borderId="0" xfId="0" applyNumberFormat="1" applyFont="1"/>
    <xf numFmtId="10" fontId="10" fillId="0" borderId="0" xfId="1" applyNumberFormat="1" applyFont="1" applyFill="1" applyBorder="1" applyAlignment="1">
      <alignment horizontal="right"/>
    </xf>
    <xf numFmtId="10" fontId="9" fillId="8" borderId="0" xfId="0" applyNumberFormat="1" applyFont="1" applyFill="1"/>
    <xf numFmtId="0" fontId="0" fillId="9" borderId="0" xfId="0" applyFill="1" applyAlignment="1">
      <alignment horizontal="center" vertical="center"/>
    </xf>
    <xf numFmtId="168" fontId="2" fillId="3" borderId="3" xfId="0" applyNumberFormat="1" applyFont="1" applyFill="1" applyBorder="1"/>
    <xf numFmtId="4" fontId="0" fillId="0" borderId="7" xfId="0" applyNumberFormat="1" applyBorder="1" applyAlignment="1">
      <alignment vertical="center" wrapText="1"/>
    </xf>
    <xf numFmtId="3" fontId="0" fillId="5" borderId="7" xfId="0" applyNumberFormat="1" applyFill="1" applyBorder="1" applyAlignment="1">
      <alignment vertical="center" wrapText="1"/>
    </xf>
    <xf numFmtId="10" fontId="9" fillId="5" borderId="19" xfId="1" applyNumberFormat="1" applyFont="1" applyFill="1" applyBorder="1" applyAlignment="1">
      <alignment vertical="center" wrapText="1"/>
    </xf>
    <xf numFmtId="3" fontId="0" fillId="3" borderId="5" xfId="0" applyNumberFormat="1" applyFill="1" applyBorder="1"/>
    <xf numFmtId="3" fontId="0" fillId="5" borderId="5" xfId="0" applyNumberFormat="1" applyFill="1" applyBorder="1"/>
    <xf numFmtId="0" fontId="0" fillId="0" borderId="5" xfId="0" applyBorder="1"/>
    <xf numFmtId="3" fontId="0" fillId="0" borderId="5" xfId="0" applyNumberFormat="1" applyBorder="1" applyAlignment="1">
      <alignment vertical="center" wrapText="1"/>
    </xf>
    <xf numFmtId="3" fontId="0" fillId="0" borderId="5" xfId="0" applyNumberFormat="1" applyBorder="1"/>
    <xf numFmtId="0" fontId="0" fillId="0" borderId="5" xfId="0" applyBorder="1" applyAlignment="1">
      <alignment vertical="center" wrapText="1"/>
    </xf>
    <xf numFmtId="10" fontId="0" fillId="0" borderId="5" xfId="0" applyNumberFormat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10" fontId="0" fillId="5" borderId="5" xfId="0" applyNumberFormat="1" applyFill="1" applyBorder="1" applyAlignment="1">
      <alignment vertical="center" wrapText="1"/>
    </xf>
    <xf numFmtId="4" fontId="0" fillId="0" borderId="5" xfId="0" applyNumberFormat="1" applyBorder="1" applyAlignment="1">
      <alignment vertical="center" wrapText="1"/>
    </xf>
    <xf numFmtId="0" fontId="0" fillId="0" borderId="18" xfId="0" applyBorder="1"/>
    <xf numFmtId="0" fontId="10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10" fontId="10" fillId="6" borderId="0" xfId="0" applyNumberFormat="1" applyFont="1" applyFill="1" applyAlignment="1">
      <alignment horizontal="center"/>
    </xf>
    <xf numFmtId="0" fontId="10" fillId="6" borderId="13" xfId="0" applyFont="1" applyFill="1" applyBorder="1" applyAlignment="1">
      <alignment horizontal="center"/>
    </xf>
    <xf numFmtId="10" fontId="10" fillId="0" borderId="15" xfId="0" applyNumberFormat="1" applyFont="1" applyBorder="1" applyAlignment="1">
      <alignment horizontal="center"/>
    </xf>
    <xf numFmtId="0" fontId="10" fillId="0" borderId="23" xfId="0" applyFont="1" applyBorder="1" applyAlignment="1">
      <alignment horizontal="center" wrapText="1"/>
    </xf>
    <xf numFmtId="10" fontId="4" fillId="0" borderId="24" xfId="0" applyNumberFormat="1" applyFont="1" applyBorder="1" applyAlignment="1">
      <alignment horizontal="center"/>
    </xf>
    <xf numFmtId="10" fontId="10" fillId="6" borderId="24" xfId="0" applyNumberFormat="1" applyFont="1" applyFill="1" applyBorder="1" applyAlignment="1">
      <alignment horizontal="center"/>
    </xf>
    <xf numFmtId="10" fontId="4" fillId="0" borderId="25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0" fontId="0" fillId="0" borderId="8" xfId="0" applyBorder="1" applyAlignment="1">
      <alignment vertical="center" wrapText="1"/>
    </xf>
    <xf numFmtId="0" fontId="9" fillId="5" borderId="21" xfId="0" applyFont="1" applyFill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9" fontId="0" fillId="5" borderId="5" xfId="0" applyNumberFormat="1" applyFill="1" applyBorder="1" applyAlignment="1">
      <alignment vertical="center" wrapText="1"/>
    </xf>
    <xf numFmtId="10" fontId="9" fillId="0" borderId="5" xfId="1" applyNumberFormat="1" applyFont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4" fillId="2" borderId="5" xfId="0" applyFont="1" applyFill="1" applyBorder="1" applyAlignment="1">
      <alignment vertical="center" wrapText="1"/>
    </xf>
    <xf numFmtId="10" fontId="14" fillId="2" borderId="5" xfId="0" applyNumberFormat="1" applyFont="1" applyFill="1" applyBorder="1" applyAlignment="1">
      <alignment vertical="center" wrapText="1"/>
    </xf>
    <xf numFmtId="4" fontId="0" fillId="8" borderId="5" xfId="0" applyNumberFormat="1" applyFill="1" applyBorder="1" applyAlignment="1">
      <alignment vertical="center" wrapText="1"/>
    </xf>
    <xf numFmtId="0" fontId="0" fillId="8" borderId="5" xfId="0" applyFill="1" applyBorder="1"/>
    <xf numFmtId="3" fontId="0" fillId="8" borderId="5" xfId="0" applyNumberFormat="1" applyFill="1" applyBorder="1" applyAlignment="1">
      <alignment vertical="center" wrapText="1"/>
    </xf>
    <xf numFmtId="0" fontId="5" fillId="9" borderId="5" xfId="0" applyFont="1" applyFill="1" applyBorder="1" applyAlignment="1">
      <alignment vertical="center" wrapText="1"/>
    </xf>
    <xf numFmtId="0" fontId="12" fillId="9" borderId="5" xfId="0" applyFont="1" applyFill="1" applyBorder="1" applyAlignment="1">
      <alignment vertical="center" wrapText="1"/>
    </xf>
    <xf numFmtId="0" fontId="5" fillId="9" borderId="28" xfId="0" applyFont="1" applyFill="1" applyBorder="1" applyAlignment="1">
      <alignment horizontal="center" vertical="center" wrapText="1"/>
    </xf>
    <xf numFmtId="0" fontId="5" fillId="9" borderId="29" xfId="0" applyFont="1" applyFill="1" applyBorder="1" applyAlignment="1">
      <alignment horizontal="center" vertical="center" wrapText="1"/>
    </xf>
    <xf numFmtId="0" fontId="5" fillId="9" borderId="30" xfId="0" applyFont="1" applyFill="1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/>
    <xf numFmtId="0" fontId="0" fillId="8" borderId="31" xfId="0" applyFill="1" applyBorder="1" applyAlignment="1">
      <alignment vertical="center" wrapText="1"/>
    </xf>
    <xf numFmtId="4" fontId="0" fillId="8" borderId="32" xfId="0" applyNumberFormat="1" applyFill="1" applyBorder="1" applyAlignment="1">
      <alignment vertical="center" wrapText="1"/>
    </xf>
    <xf numFmtId="4" fontId="0" fillId="0" borderId="32" xfId="0" applyNumberFormat="1" applyBorder="1" applyAlignment="1">
      <alignment vertical="center" wrapText="1"/>
    </xf>
    <xf numFmtId="0" fontId="0" fillId="8" borderId="33" xfId="0" applyFill="1" applyBorder="1" applyAlignment="1">
      <alignment vertical="center" wrapText="1"/>
    </xf>
    <xf numFmtId="4" fontId="0" fillId="8" borderId="34" xfId="0" applyNumberFormat="1" applyFill="1" applyBorder="1" applyAlignment="1">
      <alignment vertical="center" wrapText="1"/>
    </xf>
    <xf numFmtId="0" fontId="0" fillId="8" borderId="34" xfId="0" applyFill="1" applyBorder="1"/>
    <xf numFmtId="4" fontId="0" fillId="8" borderId="35" xfId="0" applyNumberFormat="1" applyFill="1" applyBorder="1" applyAlignment="1">
      <alignment vertical="center" wrapText="1"/>
    </xf>
    <xf numFmtId="4" fontId="0" fillId="8" borderId="32" xfId="0" applyNumberFormat="1" applyFill="1" applyBorder="1"/>
    <xf numFmtId="4" fontId="0" fillId="0" borderId="32" xfId="0" applyNumberFormat="1" applyBorder="1"/>
    <xf numFmtId="4" fontId="0" fillId="8" borderId="35" xfId="0" applyNumberFormat="1" applyFill="1" applyBorder="1"/>
    <xf numFmtId="0" fontId="2" fillId="0" borderId="36" xfId="0" applyFont="1" applyBorder="1" applyAlignment="1">
      <alignment horizontal="center" vertical="center" wrapText="1"/>
    </xf>
    <xf numFmtId="0" fontId="5" fillId="9" borderId="31" xfId="0" applyFont="1" applyFill="1" applyBorder="1" applyAlignment="1">
      <alignment vertical="center" wrapText="1"/>
    </xf>
    <xf numFmtId="0" fontId="5" fillId="9" borderId="33" xfId="0" applyFont="1" applyFill="1" applyBorder="1" applyAlignment="1">
      <alignment vertical="center" wrapText="1"/>
    </xf>
    <xf numFmtId="0" fontId="2" fillId="0" borderId="37" xfId="0" applyFont="1" applyBorder="1" applyAlignment="1">
      <alignment horizontal="center" vertical="center" wrapText="1"/>
    </xf>
    <xf numFmtId="3" fontId="0" fillId="0" borderId="32" xfId="0" applyNumberFormat="1" applyBorder="1" applyAlignment="1">
      <alignment vertical="center" wrapText="1"/>
    </xf>
    <xf numFmtId="3" fontId="0" fillId="8" borderId="32" xfId="0" applyNumberFormat="1" applyFill="1" applyBorder="1" applyAlignment="1">
      <alignment vertical="center" wrapText="1"/>
    </xf>
    <xf numFmtId="0" fontId="12" fillId="9" borderId="31" xfId="0" applyFont="1" applyFill="1" applyBorder="1" applyAlignment="1">
      <alignment vertical="center" wrapText="1"/>
    </xf>
    <xf numFmtId="0" fontId="0" fillId="9" borderId="38" xfId="0" applyFill="1" applyBorder="1"/>
    <xf numFmtId="0" fontId="0" fillId="8" borderId="39" xfId="0" applyFill="1" applyBorder="1"/>
    <xf numFmtId="0" fontId="12" fillId="9" borderId="34" xfId="0" applyFont="1" applyFill="1" applyBorder="1" applyAlignment="1">
      <alignment vertical="center" wrapText="1"/>
    </xf>
    <xf numFmtId="3" fontId="0" fillId="8" borderId="35" xfId="0" applyNumberFormat="1" applyFill="1" applyBorder="1"/>
    <xf numFmtId="0" fontId="12" fillId="9" borderId="28" xfId="0" applyFont="1" applyFill="1" applyBorder="1" applyAlignment="1">
      <alignment horizontal="center" vertical="center" wrapText="1"/>
    </xf>
    <xf numFmtId="0" fontId="12" fillId="9" borderId="30" xfId="0" applyFont="1" applyFill="1" applyBorder="1" applyAlignment="1">
      <alignment horizontal="center" vertical="center" wrapText="1"/>
    </xf>
    <xf numFmtId="3" fontId="9" fillId="0" borderId="32" xfId="0" applyNumberFormat="1" applyFont="1" applyBorder="1" applyAlignment="1">
      <alignment vertical="center" wrapText="1"/>
    </xf>
    <xf numFmtId="3" fontId="9" fillId="8" borderId="32" xfId="0" applyNumberFormat="1" applyFont="1" applyFill="1" applyBorder="1" applyAlignment="1">
      <alignment vertical="center" wrapText="1"/>
    </xf>
    <xf numFmtId="0" fontId="12" fillId="9" borderId="33" xfId="0" applyFont="1" applyFill="1" applyBorder="1" applyAlignment="1">
      <alignment vertical="center" wrapText="1"/>
    </xf>
    <xf numFmtId="3" fontId="9" fillId="8" borderId="35" xfId="0" applyNumberFormat="1" applyFont="1" applyFill="1" applyBorder="1" applyAlignment="1">
      <alignment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0" fillId="5" borderId="43" xfId="0" applyFill="1" applyBorder="1"/>
    <xf numFmtId="0" fontId="0" fillId="5" borderId="44" xfId="0" applyFill="1" applyBorder="1"/>
    <xf numFmtId="0" fontId="0" fillId="0" borderId="43" xfId="0" applyBorder="1"/>
    <xf numFmtId="4" fontId="0" fillId="0" borderId="44" xfId="0" applyNumberFormat="1" applyBorder="1"/>
    <xf numFmtId="4" fontId="0" fillId="5" borderId="44" xfId="0" applyNumberFormat="1" applyFill="1" applyBorder="1"/>
    <xf numFmtId="0" fontId="0" fillId="5" borderId="45" xfId="0" applyFill="1" applyBorder="1"/>
    <xf numFmtId="3" fontId="0" fillId="5" borderId="46" xfId="0" applyNumberFormat="1" applyFill="1" applyBorder="1" applyAlignment="1">
      <alignment vertical="center" wrapText="1"/>
    </xf>
    <xf numFmtId="3" fontId="0" fillId="3" borderId="46" xfId="0" applyNumberFormat="1" applyFill="1" applyBorder="1" applyAlignment="1">
      <alignment vertical="center" wrapText="1"/>
    </xf>
    <xf numFmtId="0" fontId="0" fillId="5" borderId="46" xfId="0" applyFill="1" applyBorder="1"/>
    <xf numFmtId="3" fontId="0" fillId="3" borderId="46" xfId="0" applyNumberFormat="1" applyFill="1" applyBorder="1"/>
    <xf numFmtId="3" fontId="0" fillId="5" borderId="46" xfId="0" applyNumberFormat="1" applyFill="1" applyBorder="1"/>
    <xf numFmtId="4" fontId="0" fillId="5" borderId="47" xfId="0" applyNumberFormat="1" applyFill="1" applyBorder="1"/>
    <xf numFmtId="0" fontId="0" fillId="0" borderId="43" xfId="0" applyBorder="1" applyAlignment="1">
      <alignment vertical="center" wrapText="1"/>
    </xf>
    <xf numFmtId="10" fontId="0" fillId="0" borderId="44" xfId="0" applyNumberFormat="1" applyBorder="1" applyAlignment="1">
      <alignment vertical="center" wrapText="1"/>
    </xf>
    <xf numFmtId="10" fontId="0" fillId="5" borderId="44" xfId="0" applyNumberFormat="1" applyFill="1" applyBorder="1"/>
    <xf numFmtId="10" fontId="0" fillId="0" borderId="44" xfId="0" applyNumberFormat="1" applyBorder="1"/>
    <xf numFmtId="0" fontId="0" fillId="5" borderId="43" xfId="0" applyFill="1" applyBorder="1" applyAlignment="1">
      <alignment vertical="center" wrapText="1"/>
    </xf>
    <xf numFmtId="10" fontId="0" fillId="5" borderId="44" xfId="0" applyNumberFormat="1" applyFill="1" applyBorder="1" applyAlignment="1">
      <alignment vertical="center" wrapText="1"/>
    </xf>
    <xf numFmtId="0" fontId="0" fillId="5" borderId="45" xfId="0" applyFill="1" applyBorder="1" applyAlignment="1">
      <alignment vertical="center" wrapText="1"/>
    </xf>
    <xf numFmtId="10" fontId="0" fillId="5" borderId="47" xfId="0" applyNumberFormat="1" applyFill="1" applyBorder="1" applyAlignment="1">
      <alignment vertical="center" wrapText="1"/>
    </xf>
    <xf numFmtId="3" fontId="0" fillId="0" borderId="44" xfId="0" applyNumberFormat="1" applyBorder="1" applyAlignment="1">
      <alignment vertical="center" wrapText="1"/>
    </xf>
    <xf numFmtId="3" fontId="0" fillId="5" borderId="47" xfId="0" applyNumberFormat="1" applyFill="1" applyBorder="1" applyAlignment="1">
      <alignment vertical="center" wrapText="1"/>
    </xf>
    <xf numFmtId="0" fontId="5" fillId="4" borderId="40" xfId="0" applyFont="1" applyFill="1" applyBorder="1" applyAlignment="1">
      <alignment vertical="center" wrapText="1"/>
    </xf>
    <xf numFmtId="3" fontId="0" fillId="5" borderId="42" xfId="0" applyNumberFormat="1" applyFill="1" applyBorder="1" applyAlignment="1">
      <alignment vertical="center" wrapText="1"/>
    </xf>
    <xf numFmtId="0" fontId="5" fillId="4" borderId="43" xfId="0" applyFont="1" applyFill="1" applyBorder="1" applyAlignment="1">
      <alignment vertical="center" wrapText="1"/>
    </xf>
    <xf numFmtId="0" fontId="5" fillId="4" borderId="45" xfId="0" applyFont="1" applyFill="1" applyBorder="1" applyAlignment="1">
      <alignment vertical="center" wrapText="1"/>
    </xf>
    <xf numFmtId="9" fontId="0" fillId="0" borderId="45" xfId="0" applyNumberFormat="1" applyBorder="1"/>
    <xf numFmtId="9" fontId="0" fillId="0" borderId="47" xfId="0" applyNumberFormat="1" applyBorder="1"/>
    <xf numFmtId="4" fontId="9" fillId="0" borderId="0" xfId="1" applyNumberFormat="1" applyFont="1"/>
    <xf numFmtId="0" fontId="2" fillId="5" borderId="49" xfId="0" applyFont="1" applyFill="1" applyBorder="1"/>
    <xf numFmtId="0" fontId="5" fillId="4" borderId="1" xfId="0" applyFont="1" applyFill="1" applyBorder="1"/>
    <xf numFmtId="0" fontId="5" fillId="4" borderId="48" xfId="0" applyFont="1" applyFill="1" applyBorder="1"/>
    <xf numFmtId="0" fontId="5" fillId="4" borderId="3" xfId="0" applyFont="1" applyFill="1" applyBorder="1"/>
    <xf numFmtId="168" fontId="2" fillId="5" borderId="51" xfId="0" applyNumberFormat="1" applyFont="1" applyFill="1" applyBorder="1"/>
    <xf numFmtId="172" fontId="2" fillId="5" borderId="50" xfId="0" applyNumberFormat="1" applyFont="1" applyFill="1" applyBorder="1"/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</cellXfs>
  <cellStyles count="3">
    <cellStyle name="Normale" xfId="0" builtinId="0"/>
    <cellStyle name="Percentuale" xfId="1" builtinId="5"/>
    <cellStyle name="Valuta" xfId="2" builtinId="4"/>
  </cellStyles>
  <dxfs count="148"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5" formatCode="#,##0;\-#,##0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5" formatCode="#,##0;\-#,##0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5" formatCode="#,##0;\-#,##0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5" formatCode="#,##0;\-#,##0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5" formatCode="#,##0;\-#,##0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5" formatCode="#,##0;\-#,##0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(&quot;$&quot;* #,##0_);_(&quot;$&quot;* \(#,##0\);_(&quot;$&quot;* &quot;-&quot;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(&quot;$&quot;* #,##0_);_(&quot;$&quot;* \(#,##0\);_(&quot;$&quot;* &quot;-&quot;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(&quot;$&quot;* #,##0_);_(&quot;$&quot;* \(#,##0\);_(&quot;$&quot;* &quot;-&quot;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(&quot;$&quot;* #,##0_);_(&quot;$&quot;* \(#,##0\);_(&quot;$&quot;* &quot;-&quot;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(&quot;$&quot;* #,##0_);_(&quot;$&quot;* \(#,##0\);_(&quot;$&quot;* &quot;-&quot;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(&quot;$&quot;* #,##0_);_(&quot;$&quot;* \(#,##0\);_(&quot;$&quot;* &quot;-&quot;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5" tint="0.79998168889431442"/>
        </patternFill>
      </fill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0.0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</dxf>
    <dxf>
      <border outline="0">
        <bottom style="thin">
          <color theme="4" tint="0.5999938962981048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i/>
      </font>
      <numFmt numFmtId="168" formatCode="0.000"/>
    </dxf>
    <dxf>
      <font>
        <b/>
        <i/>
      </font>
      <numFmt numFmtId="168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_ ;\-#,##0\ 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/>
      </font>
      <numFmt numFmtId="168" formatCode="0.000"/>
    </dxf>
    <dxf>
      <font>
        <b/>
        <i/>
      </font>
      <numFmt numFmtId="4" formatCode="#,##0.00"/>
    </dxf>
    <dxf>
      <font>
        <b/>
        <i/>
      </font>
      <numFmt numFmtId="168" formatCode="0.000"/>
    </dxf>
    <dxf>
      <font>
        <b/>
        <i/>
      </font>
      <numFmt numFmtId="168" formatCode="0.000"/>
    </dxf>
    <dxf>
      <font>
        <b/>
        <i/>
      </font>
      <numFmt numFmtId="168" formatCode="0.000"/>
    </dxf>
    <dxf>
      <numFmt numFmtId="3" formatCode="#,##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_ ;\-#,##0\ "/>
      <alignment horizontal="general" vertical="center" textRotation="0" wrapText="1" indent="0" justifyLastLine="0" shrinkToFit="0" readingOrder="0"/>
    </dxf>
    <dxf>
      <numFmt numFmtId="164" formatCode="#,##0_ ;\-#,##0\ 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5" formatCode="#,##0;\-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thin">
          <color rgb="FF000000"/>
        </top>
      </border>
    </dxf>
    <dxf>
      <font>
        <b/>
        <color rgb="FF000000"/>
      </font>
      <border>
        <bottom style="thin">
          <color rgb="FF000000"/>
        </bottom>
      </border>
    </dxf>
    <dxf>
      <font>
        <color rgb="FF000000"/>
      </font>
      <border>
        <top style="thin">
          <color rgb="FF000000"/>
        </top>
        <bottom style="thin">
          <color rgb="FF000000"/>
        </bottom>
      </border>
    </dxf>
  </dxfs>
  <tableStyles count="1" defaultTableStyle="TableStyleMedium2" defaultPivotStyle="PivotStyleLight16">
    <tableStyle name="TableStyleLight1 2" pivot="0" count="7" xr9:uid="{A003F31F-0B91-4AE7-989E-677764AD7D70}">
      <tableStyleElement type="wholeTable" dxfId="147"/>
      <tableStyleElement type="headerRow" dxfId="146"/>
      <tableStyleElement type="totalRow" dxfId="145"/>
      <tableStyleElement type="firstColumn" dxfId="144"/>
      <tableStyleElement type="lastColumn" dxfId="143"/>
      <tableStyleElement type="firstRowStripe" dxfId="142"/>
      <tableStyleElement type="firstColumnStripe" dxfId="14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Total Revenue (USD Millions)</a:t>
            </a:r>
            <a:endParaRPr lang="it-IT"/>
          </a:p>
        </c:rich>
      </c:tx>
      <c:layout>
        <c:manualLayout>
          <c:xMode val="edge"/>
          <c:yMode val="edge"/>
          <c:x val="0.1846804461942257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'Geographical Distribution'!$E$1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5.8618110236220475E-2"/>
                  <c:y val="-6.01851851851852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74-4A56-AD3F-1CB88466EB92}"/>
                </c:ext>
              </c:extLst>
            </c:dLbl>
            <c:dLbl>
              <c:idx val="1"/>
              <c:layout>
                <c:manualLayout>
                  <c:x val="-7.2506999125109356E-2"/>
                  <c:y val="-8.3333333333333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74-4A56-AD3F-1CB88466EB92}"/>
                </c:ext>
              </c:extLst>
            </c:dLbl>
            <c:dLbl>
              <c:idx val="2"/>
              <c:layout>
                <c:manualLayout>
                  <c:x val="-5.8618110236220475E-2"/>
                  <c:y val="-4.166666666666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274-4A56-AD3F-1CB88466EB92}"/>
                </c:ext>
              </c:extLst>
            </c:dLbl>
            <c:dLbl>
              <c:idx val="3"/>
              <c:layout>
                <c:manualLayout>
                  <c:x val="-5.8618110236220475E-2"/>
                  <c:y val="-8.3333333333333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74-4A56-AD3F-1CB88466EB92}"/>
                </c:ext>
              </c:extLst>
            </c:dLbl>
            <c:dLbl>
              <c:idx val="4"/>
              <c:layout>
                <c:manualLayout>
                  <c:x val="-6.1395888013998354E-2"/>
                  <c:y val="-5.09257436570429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236001749781277E-2"/>
                      <c:h val="6.47455526392534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2274-4A56-AD3F-1CB88466EB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'Geographical Distribution'!$A$2:$A$6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'Geographical Distribution'!$E$2:$E$6</c:f>
              <c:numCache>
                <c:formatCode>#,##0</c:formatCode>
                <c:ptCount val="5"/>
                <c:pt idx="0">
                  <c:v>49818</c:v>
                </c:pt>
                <c:pt idx="1">
                  <c:v>51557</c:v>
                </c:pt>
                <c:pt idx="2">
                  <c:v>56998</c:v>
                </c:pt>
                <c:pt idx="3">
                  <c:v>53803</c:v>
                </c:pt>
                <c:pt idx="4">
                  <c:v>56654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4-4A56-AD3F-1CB88466EB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18745215"/>
        <c:axId val="618747135"/>
      </c:lineChart>
      <c:catAx>
        <c:axId val="61874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747135"/>
        <c:crosses val="autoZero"/>
        <c:auto val="1"/>
        <c:lblAlgn val="ctr"/>
        <c:lblOffset val="100"/>
        <c:noMultiLvlLbl val="0"/>
      </c:catAx>
      <c:valAx>
        <c:axId val="61874713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74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Geographical Revenue Distribution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'Geographical Distribution'!$F$1</c:f>
              <c:strCache>
                <c:ptCount val="1"/>
                <c:pt idx="0">
                  <c:v>Americas%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'Geographical Distribution'!$A$2:$A$6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'Geographical Distribution'!$F$2:$F$6</c:f>
              <c:numCache>
                <c:formatCode>0.00%</c:formatCode>
                <c:ptCount val="5"/>
                <c:pt idx="0">
                  <c:v>0.58535067646232286</c:v>
                </c:pt>
                <c:pt idx="1">
                  <c:v>0.57827259150066912</c:v>
                </c:pt>
                <c:pt idx="2">
                  <c:v>0.5868100635110004</c:v>
                </c:pt>
                <c:pt idx="3">
                  <c:v>0.59422337044402729</c:v>
                </c:pt>
                <c:pt idx="4">
                  <c:v>0.59406220213930172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8-4C80-B21B-232EAD46B4A0}"/>
            </c:ext>
          </c:extLst>
        </c:ser>
        <c:ser>
          <c:idx val="1"/>
          <c:order val="1"/>
          <c:tx>
            <c:strRef>
              <c:f>'Geographical Distribution'!$G$1</c:f>
              <c:strCache>
                <c:ptCount val="1"/>
                <c:pt idx="0">
                  <c:v>EMEA%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'Geographical Distribution'!$A$2:$A$6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'Geographical Distribution'!$G$2:$G$6</c:f>
              <c:numCache>
                <c:formatCode>0.00%</c:formatCode>
                <c:ptCount val="5"/>
                <c:pt idx="0">
                  <c:v>0.25996627724918703</c:v>
                </c:pt>
                <c:pt idx="1">
                  <c:v>0.26601625385495664</c:v>
                </c:pt>
                <c:pt idx="2">
                  <c:v>0.2655356328292221</c:v>
                </c:pt>
                <c:pt idx="3">
                  <c:v>0.26238313848670147</c:v>
                </c:pt>
                <c:pt idx="4">
                  <c:v>0.26165848836798816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8-4C80-B21B-232EAD46B4A0}"/>
            </c:ext>
          </c:extLst>
        </c:ser>
        <c:ser>
          <c:idx val="2"/>
          <c:order val="2"/>
          <c:tx>
            <c:strRef>
              <c:f>'Geographical Distribution'!$H$1</c:f>
              <c:strCache>
                <c:ptCount val="1"/>
                <c:pt idx="0">
                  <c:v>APJC%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'Geographical Distribution'!$A$2:$A$6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'Geographical Distribution'!$H$2:$H$6</c:f>
              <c:numCache>
                <c:formatCode>0.00%</c:formatCode>
                <c:ptCount val="5"/>
                <c:pt idx="0">
                  <c:v>0.15468304628849011</c:v>
                </c:pt>
                <c:pt idx="1">
                  <c:v>0.15569175863607271</c:v>
                </c:pt>
                <c:pt idx="2">
                  <c:v>0.14767184813502229</c:v>
                </c:pt>
                <c:pt idx="3">
                  <c:v>0.14341207739345391</c:v>
                </c:pt>
                <c:pt idx="4">
                  <c:v>0.14427930949271014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A8-4C80-B21B-232EAD46B4A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46862431"/>
        <c:axId val="646855711"/>
      </c:barChart>
      <c:catAx>
        <c:axId val="64686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6855711"/>
        <c:crosses val="autoZero"/>
        <c:auto val="1"/>
        <c:lblAlgn val="ctr"/>
        <c:lblOffset val="100"/>
        <c:noMultiLvlLbl val="0"/>
      </c:catAx>
      <c:valAx>
        <c:axId val="64685571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4686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Cost vs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'Cost vs Margin'!$E$1</c:f>
              <c:strCache>
                <c:ptCount val="1"/>
                <c:pt idx="0">
                  <c:v>Cost%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8222222222222245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64-4525-A1C9-9AD22CFF452C}"/>
                </c:ext>
              </c:extLst>
            </c:dLbl>
            <c:dLbl>
              <c:idx val="1"/>
              <c:layout>
                <c:manualLayout>
                  <c:x val="-6.1000000000000054E-2"/>
                  <c:y val="-5.5555555555555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64-4525-A1C9-9AD22CFF452C}"/>
                </c:ext>
              </c:extLst>
            </c:dLbl>
            <c:dLbl>
              <c:idx val="2"/>
              <c:layout>
                <c:manualLayout>
                  <c:x val="-6.0999999999999999E-2"/>
                  <c:y val="-4.62962962962963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64-4525-A1C9-9AD22CFF452C}"/>
                </c:ext>
              </c:extLst>
            </c:dLbl>
            <c:dLbl>
              <c:idx val="3"/>
              <c:layout>
                <c:manualLayout>
                  <c:x val="-6.0999999999999999E-2"/>
                  <c:y val="-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864-4525-A1C9-9AD22CFF452C}"/>
                </c:ext>
              </c:extLst>
            </c:dLbl>
            <c:dLbl>
              <c:idx val="4"/>
              <c:layout>
                <c:manualLayout>
                  <c:x val="-5.8222222222222321E-2"/>
                  <c:y val="-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864-4525-A1C9-9AD22CFF45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'Cost vs Margin'!$A$2:$A$6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'Cost vs Margin'!$E$2:$E$6</c:f>
              <c:numCache>
                <c:formatCode>0.00%</c:formatCode>
                <c:ptCount val="5"/>
                <c:pt idx="0">
                  <c:v>0.35978963426873822</c:v>
                </c:pt>
                <c:pt idx="1">
                  <c:v>0.37451752429350038</c:v>
                </c:pt>
                <c:pt idx="2">
                  <c:v>0.37273237657461666</c:v>
                </c:pt>
                <c:pt idx="3">
                  <c:v>0.35267550136609482</c:v>
                </c:pt>
                <c:pt idx="4">
                  <c:v>0.35061955025240937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64-4525-A1C9-9AD22CFF452C}"/>
            </c:ext>
          </c:extLst>
        </c:ser>
        <c:ser>
          <c:idx val="2"/>
          <c:order val="1"/>
          <c:tx>
            <c:strRef>
              <c:f>'Cost vs Margin'!$F$1</c:f>
              <c:strCache>
                <c:ptCount val="1"/>
                <c:pt idx="0">
                  <c:v>Margin%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3777777777777808E-2"/>
                  <c:y val="-6.0185185185185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64-4525-A1C9-9AD22CFF452C}"/>
                </c:ext>
              </c:extLst>
            </c:dLbl>
            <c:dLbl>
              <c:idx val="1"/>
              <c:layout>
                <c:manualLayout>
                  <c:x val="-5.8222222222222272E-2"/>
                  <c:y val="-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64-4525-A1C9-9AD22CFF452C}"/>
                </c:ext>
              </c:extLst>
            </c:dLbl>
            <c:dLbl>
              <c:idx val="2"/>
              <c:layout>
                <c:manualLayout>
                  <c:x val="-6.0999999999999999E-2"/>
                  <c:y val="-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64-4525-A1C9-9AD22CFF452C}"/>
                </c:ext>
              </c:extLst>
            </c:dLbl>
            <c:dLbl>
              <c:idx val="3"/>
              <c:layout>
                <c:manualLayout>
                  <c:x val="-6.0999999999999999E-2"/>
                  <c:y val="-4.62962962962963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64-4525-A1C9-9AD22CFF452C}"/>
                </c:ext>
              </c:extLst>
            </c:dLbl>
            <c:dLbl>
              <c:idx val="4"/>
              <c:layout>
                <c:manualLayout>
                  <c:x val="-5.8222222222222321E-2"/>
                  <c:y val="-4.16666666666666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64-4525-A1C9-9AD22CFF45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'Cost vs Margin'!$A$2:$A$6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'Cost vs Margin'!$F$2:$F$6</c:f>
              <c:numCache>
                <c:formatCode>0.00%</c:formatCode>
                <c:ptCount val="5"/>
                <c:pt idx="0">
                  <c:v>0.64021036573126178</c:v>
                </c:pt>
                <c:pt idx="1">
                  <c:v>0.62548247570649962</c:v>
                </c:pt>
                <c:pt idx="2">
                  <c:v>0.62726762342538334</c:v>
                </c:pt>
                <c:pt idx="3">
                  <c:v>0.64732449863390518</c:v>
                </c:pt>
                <c:pt idx="4">
                  <c:v>0.64938044974759068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64-4525-A1C9-9AD22CFF452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9532847"/>
        <c:axId val="789534767"/>
      </c:lineChart>
      <c:catAx>
        <c:axId val="78953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9534767"/>
        <c:crosses val="autoZero"/>
        <c:auto val="1"/>
        <c:lblAlgn val="ctr"/>
        <c:lblOffset val="100"/>
        <c:noMultiLvlLbl val="0"/>
      </c:catAx>
      <c:valAx>
        <c:axId val="78953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953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EBIT vs 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Profitability!$D$1</c:f>
              <c:strCache>
                <c:ptCount val="1"/>
                <c:pt idx="0">
                  <c:v>EBIT</c:v>
                </c:pt>
              </c:strCache>
            </c:strRef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76000"/>
                </a:schemeClr>
              </a:solidFill>
              <a:ln w="9525">
                <a:solidFill>
                  <a:schemeClr val="accent5">
                    <a:shade val="76000"/>
                  </a:schemeClr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Profitability!$A$2:$A$8</c15:sqref>
                  </c15:fullRef>
                </c:ext>
              </c:extLst>
              <c:f>Profitability!$A$3:$A$7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Profitability!$D$2:$D$8</c15:sqref>
                  </c15:fullRef>
                </c:ext>
              </c:extLst>
              <c:f>Profitability!$D$3:$D$7</c:f>
              <c:numCache>
                <c:formatCode>#,##0</c:formatCode>
                <c:ptCount val="5"/>
                <c:pt idx="0">
                  <c:v>12833</c:v>
                </c:pt>
                <c:pt idx="1">
                  <c:v>13969</c:v>
                </c:pt>
                <c:pt idx="2">
                  <c:v>15031</c:v>
                </c:pt>
                <c:pt idx="3">
                  <c:v>12181</c:v>
                </c:pt>
                <c:pt idx="4">
                  <c:v>11760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9-4719-AC51-FA4499BE3BE6}"/>
            </c:ext>
          </c:extLst>
        </c:ser>
        <c:ser>
          <c:idx val="1"/>
          <c:order val="1"/>
          <c:tx>
            <c:strRef>
              <c:f>Profitability!$H$1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77000"/>
                </a:schemeClr>
              </a:solidFill>
              <a:ln w="9525">
                <a:solidFill>
                  <a:schemeClr val="accent5">
                    <a:tint val="77000"/>
                  </a:schemeClr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Profitability!$A$2:$A$8</c15:sqref>
                  </c15:fullRef>
                </c:ext>
              </c:extLst>
              <c:f>Profitability!$A$3:$A$7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Profitability!$H$2:$H$8</c15:sqref>
                  </c15:fullRef>
                </c:ext>
              </c:extLst>
              <c:f>Profitability!$H$3:$H$7</c:f>
              <c:numCache>
                <c:formatCode>#,##0</c:formatCode>
                <c:ptCount val="5"/>
                <c:pt idx="0">
                  <c:v>14695</c:v>
                </c:pt>
                <c:pt idx="1">
                  <c:v>15926</c:v>
                </c:pt>
                <c:pt idx="2">
                  <c:v>16757</c:v>
                </c:pt>
                <c:pt idx="3">
                  <c:v>14688</c:v>
                </c:pt>
                <c:pt idx="4">
                  <c:v>14571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69-4719-AC51-FA4499BE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887263"/>
        <c:axId val="477895423"/>
      </c:lineChart>
      <c:catAx>
        <c:axId val="47788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7895423"/>
        <c:crosses val="autoZero"/>
        <c:auto val="1"/>
        <c:lblAlgn val="ctr"/>
        <c:lblOffset val="100"/>
        <c:noMultiLvlLbl val="0"/>
      </c:catAx>
      <c:valAx>
        <c:axId val="4778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788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Profitability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Profitability!$I$1</c:f>
              <c:strCache>
                <c:ptCount val="1"/>
                <c:pt idx="0">
                  <c:v>Net Profit Margin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Profitability!$A$2:$A$7</c15:sqref>
                  </c15:fullRef>
                </c:ext>
              </c:extLst>
              <c:f>Profitability!$A$3:$A$7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Profitability!$I$2:$I$7</c15:sqref>
                  </c15:fullRef>
                </c:ext>
              </c:extLst>
              <c:f>Profitability!$I$3:$I$7</c:f>
              <c:numCache>
                <c:formatCode>0.00%</c:formatCode>
                <c:ptCount val="5"/>
                <c:pt idx="0">
                  <c:v>0.21259384158336345</c:v>
                </c:pt>
                <c:pt idx="1">
                  <c:v>0.22910565005721822</c:v>
                </c:pt>
                <c:pt idx="2">
                  <c:v>0.2212884662619741</c:v>
                </c:pt>
                <c:pt idx="3">
                  <c:v>0.1918108655651172</c:v>
                </c:pt>
                <c:pt idx="4">
                  <c:v>0.17968722420305716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A4-4827-BA46-2191C71E8F67}"/>
            </c:ext>
          </c:extLst>
        </c:ser>
        <c:ser>
          <c:idx val="1"/>
          <c:order val="1"/>
          <c:tx>
            <c:strRef>
              <c:f>Profitability!$J$1</c:f>
              <c:strCache>
                <c:ptCount val="1"/>
                <c:pt idx="0">
                  <c:v>EBIT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Profitability!$A$2:$A$7</c15:sqref>
                  </c15:fullRef>
                </c:ext>
              </c:extLst>
              <c:f>Profitability!$A$3:$A$7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Profitability!$J$2:$J$7</c15:sqref>
                  </c15:fullRef>
                </c:ext>
              </c:extLst>
              <c:f>Profitability!$J$3:$J$7</c:f>
              <c:numCache>
                <c:formatCode>0.00%</c:formatCode>
                <c:ptCount val="5"/>
                <c:pt idx="0">
                  <c:v>0.25759765546589586</c:v>
                </c:pt>
                <c:pt idx="1">
                  <c:v>0.27094283996353552</c:v>
                </c:pt>
                <c:pt idx="2">
                  <c:v>0.26371100740376857</c:v>
                </c:pt>
                <c:pt idx="3">
                  <c:v>0.22640001486905934</c:v>
                </c:pt>
                <c:pt idx="4">
                  <c:v>0.20757581106364953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A4-4827-BA46-2191C71E8F67}"/>
            </c:ext>
          </c:extLst>
        </c:ser>
        <c:ser>
          <c:idx val="2"/>
          <c:order val="2"/>
          <c:tx>
            <c:strRef>
              <c:f>Profitability!$L$1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Profitability!$A$2:$A$7</c15:sqref>
                  </c15:fullRef>
                </c:ext>
              </c:extLst>
              <c:f>Profitability!$A$3:$A$7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Profitability!$L$2:$L$7</c15:sqref>
                  </c15:fullRef>
                </c:ext>
              </c:extLst>
              <c:f>Profitability!$L$3:$L$7</c:f>
              <c:numCache>
                <c:formatCode>0.00%</c:formatCode>
                <c:ptCount val="5"/>
                <c:pt idx="0">
                  <c:v>0.25659600242277408</c:v>
                </c:pt>
                <c:pt idx="1">
                  <c:v>0.29698539210016844</c:v>
                </c:pt>
                <c:pt idx="2">
                  <c:v>0.28437760692625075</c:v>
                </c:pt>
                <c:pt idx="3">
                  <c:v>0.22702774050201288</c:v>
                </c:pt>
                <c:pt idx="4">
                  <c:v>0.21732169160813783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A4-4827-BA46-2191C71E8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707552"/>
        <c:axId val="405708032"/>
      </c:lineChart>
      <c:catAx>
        <c:axId val="40570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5708032"/>
        <c:crosses val="autoZero"/>
        <c:auto val="1"/>
        <c:lblAlgn val="ctr"/>
        <c:lblOffset val="100"/>
        <c:noMultiLvlLbl val="0"/>
      </c:catAx>
      <c:valAx>
        <c:axId val="4057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570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DUPONT</a:t>
            </a:r>
            <a:r>
              <a:rPr lang="it-IT" baseline="0"/>
              <a:t> Analysis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Profitability!$I$1</c:f>
              <c:strCache>
                <c:ptCount val="1"/>
                <c:pt idx="0">
                  <c:v>Net Profit Margin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Profitability!$A$2:$A$7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Profitability!$I$2:$I$7</c:f>
              <c:numCache>
                <c:formatCode>0.00%</c:formatCode>
                <c:ptCount val="6"/>
                <c:pt idx="1">
                  <c:v>0.21259384158336345</c:v>
                </c:pt>
                <c:pt idx="2">
                  <c:v>0.22910565005721822</c:v>
                </c:pt>
                <c:pt idx="3">
                  <c:v>0.2212884662619741</c:v>
                </c:pt>
                <c:pt idx="4">
                  <c:v>0.1918108655651172</c:v>
                </c:pt>
                <c:pt idx="5">
                  <c:v>0.17968722420305716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4A-4A5B-9751-8DF336E07E9A}"/>
            </c:ext>
          </c:extLst>
        </c:ser>
        <c:ser>
          <c:idx val="1"/>
          <c:order val="1"/>
          <c:tx>
            <c:strRef>
              <c:f>Profitability!$M$1</c:f>
              <c:strCache>
                <c:ptCount val="1"/>
                <c:pt idx="0">
                  <c:v>Asset Turnover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75000"/>
                </a:schemeClr>
              </a:solidFill>
              <a:ln w="9525">
                <a:solidFill>
                  <a:schemeClr val="bg2">
                    <a:lumMod val="75000"/>
                  </a:schemeClr>
                </a:solidFill>
              </a:ln>
              <a:effectLst/>
            </c:spPr>
          </c:marker>
          <c:cat>
            <c:numRef>
              <c:f>Profitability!$A$2:$A$7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Profitability!$M$2:$M$7</c:f>
              <c:numCache>
                <c:formatCode>0.00%</c:formatCode>
                <c:ptCount val="6"/>
                <c:pt idx="1">
                  <c:v>0.51096956829440909</c:v>
                </c:pt>
                <c:pt idx="2">
                  <c:v>0.54846705389247041</c:v>
                </c:pt>
                <c:pt idx="3">
                  <c:v>0.55961591328594429</c:v>
                </c:pt>
                <c:pt idx="4">
                  <c:v>0.43245480777732231</c:v>
                </c:pt>
                <c:pt idx="5">
                  <c:v>0.4632720314659296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4A-4A5B-9751-8DF336E07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50256"/>
        <c:axId val="210567056"/>
      </c:lineChart>
      <c:lineChart>
        <c:grouping val="standard"/>
        <c:varyColors val="0"/>
        <c:ser>
          <c:idx val="2"/>
          <c:order val="2"/>
          <c:tx>
            <c:strRef>
              <c:f>Profitability!$N$1</c:f>
              <c:strCache>
                <c:ptCount val="1"/>
                <c:pt idx="0">
                  <c:v>Equity Multiplier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Profitability!$A$2:$A$7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Profitability!$N$2:$N$7</c:f>
              <c:numCache>
                <c:formatCode>0.00</c:formatCode>
                <c:ptCount val="6"/>
                <c:pt idx="1">
                  <c:v>2.3621320411871594</c:v>
                </c:pt>
                <c:pt idx="2">
                  <c:v>2.363462650541825</c:v>
                </c:pt>
                <c:pt idx="3">
                  <c:v>2.2963948323675965</c:v>
                </c:pt>
                <c:pt idx="4">
                  <c:v>2.7369382053369118</c:v>
                </c:pt>
                <c:pt idx="5">
                  <c:v>2.6106568750933969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4A-4A5B-9751-8DF336E07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684992"/>
        <c:axId val="405698912"/>
      </c:lineChart>
      <c:catAx>
        <c:axId val="21055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567056"/>
        <c:crosses val="autoZero"/>
        <c:auto val="1"/>
        <c:lblAlgn val="ctr"/>
        <c:lblOffset val="100"/>
        <c:noMultiLvlLbl val="0"/>
      </c:catAx>
      <c:valAx>
        <c:axId val="21056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550256"/>
        <c:crosses val="autoZero"/>
        <c:crossBetween val="between"/>
      </c:valAx>
      <c:valAx>
        <c:axId val="405698912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 w="28575"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5684992"/>
        <c:crosses val="max"/>
        <c:crossBetween val="between"/>
      </c:valAx>
      <c:catAx>
        <c:axId val="405684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05698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ROE after</a:t>
            </a:r>
            <a:r>
              <a:rPr lang="it-IT" baseline="0"/>
              <a:t> </a:t>
            </a:r>
            <a:r>
              <a:rPr lang="it-IT"/>
              <a:t>5% Increment</a:t>
            </a:r>
            <a:r>
              <a:rPr lang="it-IT" baseline="0"/>
              <a:t> in Operating Efficiency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Profitability!$L$1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Profitability!$A$2:$A$7</c15:sqref>
                  </c15:fullRef>
                </c:ext>
              </c:extLst>
              <c:f>Profitability!$A$3:$A$7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Profitability!$L$2:$L$7</c15:sqref>
                  </c15:fullRef>
                </c:ext>
              </c:extLst>
              <c:f>Profitability!$L$3:$L$7</c:f>
              <c:numCache>
                <c:formatCode>0.00%</c:formatCode>
                <c:ptCount val="5"/>
                <c:pt idx="0">
                  <c:v>0.25659600242277408</c:v>
                </c:pt>
                <c:pt idx="1">
                  <c:v>0.29698539210016844</c:v>
                </c:pt>
                <c:pt idx="2">
                  <c:v>0.28437760692625075</c:v>
                </c:pt>
                <c:pt idx="3">
                  <c:v>0.22702774050201288</c:v>
                </c:pt>
                <c:pt idx="4">
                  <c:v>0.21732169160813783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4B-40F2-8ADB-CBFE4D93DCD2}"/>
            </c:ext>
          </c:extLst>
        </c:ser>
        <c:ser>
          <c:idx val="0"/>
          <c:order val="1"/>
          <c:tx>
            <c:strRef>
              <c:f>Profitability!$C$11</c:f>
              <c:strCache>
                <c:ptCount val="1"/>
                <c:pt idx="0">
                  <c:v>ROE Simulated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5"/>
              <c:pt idx="0">
                <c:v>2021</c:v>
              </c:pt>
              <c:pt idx="1">
                <c:v>2022</c:v>
              </c:pt>
              <c:pt idx="2">
                <c:v>2023</c:v>
              </c:pt>
              <c:pt idx="3">
                <c:v>2024</c:v>
              </c:pt>
              <c:pt idx="4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Profitability!$C$12:$C$17</c15:sqref>
                  </c15:fullRef>
                </c:ext>
              </c:extLst>
              <c:f>Profitability!$C$13:$C$17</c:f>
              <c:numCache>
                <c:formatCode>0.00%</c:formatCode>
                <c:ptCount val="5"/>
                <c:pt idx="0">
                  <c:v>0.2694258025439128</c:v>
                </c:pt>
                <c:pt idx="1">
                  <c:v>0.31183466170517699</c:v>
                </c:pt>
                <c:pt idx="2">
                  <c:v>0.29859648727256327</c:v>
                </c:pt>
                <c:pt idx="3">
                  <c:v>0.23837912752711357</c:v>
                </c:pt>
                <c:pt idx="4">
                  <c:v>0.22818777618854472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A-4F8B-8C69-AC6A67F25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748304"/>
        <c:axId val="498754064"/>
      </c:lineChart>
      <c:catAx>
        <c:axId val="49874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8754064"/>
        <c:crosses val="autoZero"/>
        <c:auto val="1"/>
        <c:lblAlgn val="ctr"/>
        <c:lblOffset val="100"/>
        <c:noMultiLvlLbl val="0"/>
      </c:catAx>
      <c:valAx>
        <c:axId val="498754064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874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Liquidity Ratios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'Liquidity-Solvency'!$L$1</c:f>
              <c:strCache>
                <c:ptCount val="1"/>
                <c:pt idx="0">
                  <c:v>Current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'Liquidity-Solvency'!$A$2:$A$6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'Liquidity-Solvency'!$L$2:$L$6</c:f>
              <c:numCache>
                <c:formatCode>0.000</c:formatCode>
                <c:ptCount val="5"/>
                <c:pt idx="0">
                  <c:v>1.4895837300529382</c:v>
                </c:pt>
                <c:pt idx="1">
                  <c:v>1.4320202808112326</c:v>
                </c:pt>
                <c:pt idx="2">
                  <c:v>1.3845220224216679</c:v>
                </c:pt>
                <c:pt idx="3">
                  <c:v>0.90828898087916421</c:v>
                </c:pt>
                <c:pt idx="4">
                  <c:v>0.99777549623545514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6-4700-BCD4-556F90D70B48}"/>
            </c:ext>
          </c:extLst>
        </c:ser>
        <c:ser>
          <c:idx val="1"/>
          <c:order val="1"/>
          <c:tx>
            <c:strRef>
              <c:f>'Liquidity-Solvency'!$M$1</c:f>
              <c:strCache>
                <c:ptCount val="1"/>
                <c:pt idx="0">
                  <c:v>Quick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'Liquidity-Solvency'!$A$2:$A$6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'Liquidity-Solvency'!$M$2:$M$6</c:f>
              <c:numCache>
                <c:formatCode>0.000</c:formatCode>
                <c:ptCount val="5"/>
                <c:pt idx="0">
                  <c:v>1.4302090871005828</c:v>
                </c:pt>
                <c:pt idx="1">
                  <c:v>1.3318642745709828</c:v>
                </c:pt>
                <c:pt idx="2">
                  <c:v>1.2681337634545977</c:v>
                </c:pt>
                <c:pt idx="3">
                  <c:v>0.82517740981667653</c:v>
                </c:pt>
                <c:pt idx="4">
                  <c:v>0.90754049737622633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6-4700-BCD4-556F90D70B48}"/>
            </c:ext>
          </c:extLst>
        </c:ser>
        <c:ser>
          <c:idx val="2"/>
          <c:order val="2"/>
          <c:tx>
            <c:strRef>
              <c:f>'Liquidity-Solvency'!$N$1</c:f>
              <c:strCache>
                <c:ptCount val="1"/>
                <c:pt idx="0">
                  <c:v>Cash 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'Liquidity-Solvency'!$A$2:$A$6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'Liquidity-Solvency'!$N$2:$N$6</c:f>
              <c:numCache>
                <c:formatCode>0.000</c:formatCode>
                <c:ptCount val="5"/>
                <c:pt idx="0">
                  <c:v>0.3494306280230034</c:v>
                </c:pt>
                <c:pt idx="1">
                  <c:v>0.27609204368174728</c:v>
                </c:pt>
                <c:pt idx="2">
                  <c:v>0.32332556134018975</c:v>
                </c:pt>
                <c:pt idx="3">
                  <c:v>0.18499901438990735</c:v>
                </c:pt>
                <c:pt idx="4">
                  <c:v>0.23802190280629706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F6-4700-BCD4-556F90D70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802431"/>
        <c:axId val="780802911"/>
      </c:lineChart>
      <c:catAx>
        <c:axId val="780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802911"/>
        <c:crosses val="autoZero"/>
        <c:auto val="1"/>
        <c:lblAlgn val="ctr"/>
        <c:lblOffset val="100"/>
        <c:noMultiLvlLbl val="0"/>
      </c:catAx>
      <c:valAx>
        <c:axId val="78080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80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Debt Servicing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'Liquidity-Solvency'!$P$1</c:f>
              <c:strCache>
                <c:ptCount val="1"/>
                <c:pt idx="0">
                  <c:v>Debt Coverage Ratio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'Liquidity-Solvency'!$A$2:$A$6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'Liquidity-Solvency'!$P$2:$P$6</c:f>
              <c:numCache>
                <c:formatCode>0.000</c:formatCode>
                <c:ptCount val="5"/>
                <c:pt idx="0">
                  <c:v>1.3407947249696339</c:v>
                </c:pt>
                <c:pt idx="1">
                  <c:v>1.3900157645822386</c:v>
                </c:pt>
                <c:pt idx="2">
                  <c:v>2.3699201525443927</c:v>
                </c:pt>
                <c:pt idx="3">
                  <c:v>0.35139848846973709</c:v>
                </c:pt>
                <c:pt idx="4">
                  <c:v>0.50521482219770053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0F-49ED-85E4-3C1EF0EB8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959024"/>
        <c:axId val="494938864"/>
      </c:lineChart>
      <c:lineChart>
        <c:grouping val="standard"/>
        <c:varyColors val="0"/>
        <c:ser>
          <c:idx val="0"/>
          <c:order val="0"/>
          <c:tx>
            <c:strRef>
              <c:f>'Liquidity-Solvency'!$O$1</c:f>
              <c:strCache>
                <c:ptCount val="1"/>
                <c:pt idx="0">
                  <c:v>Interest Coverage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'Liquidity-Solvency'!$A$2:$A$6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'Liquidity-Solvency'!$O$2:$O$6</c:f>
              <c:numCache>
                <c:formatCode>#,##0.00</c:formatCode>
                <c:ptCount val="5"/>
                <c:pt idx="0">
                  <c:v>29.569124423963135</c:v>
                </c:pt>
                <c:pt idx="1">
                  <c:v>38.802777777777777</c:v>
                </c:pt>
                <c:pt idx="2">
                  <c:v>35.201405152224822</c:v>
                </c:pt>
                <c:pt idx="3">
                  <c:v>12.108349900596421</c:v>
                </c:pt>
                <c:pt idx="4">
                  <c:v>7.382297551789077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0F-49ED-85E4-3C1EF0EB8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914864"/>
        <c:axId val="494935984"/>
      </c:lineChart>
      <c:catAx>
        <c:axId val="49495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4938864"/>
        <c:crosses val="autoZero"/>
        <c:auto val="1"/>
        <c:lblAlgn val="ctr"/>
        <c:lblOffset val="100"/>
        <c:noMultiLvlLbl val="0"/>
      </c:catAx>
      <c:valAx>
        <c:axId val="49493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28575">
            <a:solidFill>
              <a:schemeClr val="accent5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4959024"/>
        <c:crosses val="autoZero"/>
        <c:crossBetween val="between"/>
      </c:valAx>
      <c:valAx>
        <c:axId val="494935984"/>
        <c:scaling>
          <c:orientation val="minMax"/>
        </c:scaling>
        <c:delete val="0"/>
        <c:axPos val="r"/>
        <c:numFmt formatCode="#,##0.00" sourceLinked="1"/>
        <c:majorTickMark val="none"/>
        <c:minorTickMark val="none"/>
        <c:tickLblPos val="nextTo"/>
        <c:spPr>
          <a:noFill/>
          <a:ln w="28575"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4914864"/>
        <c:crosses val="max"/>
        <c:crossBetween val="between"/>
      </c:valAx>
      <c:catAx>
        <c:axId val="494914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4935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Capital Structure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'Financial Leverage'!$K$1</c:f>
              <c:strCache>
                <c:ptCount val="1"/>
                <c:pt idx="0">
                  <c:v>Equity Ratio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'Financial Leverage'!$A$2:$A$6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'Financial Leverage'!$K$2:$K$6</c:f>
              <c:numCache>
                <c:formatCode>0.00%</c:formatCode>
                <c:ptCount val="5"/>
                <c:pt idx="0">
                  <c:v>0.42334635937516024</c:v>
                </c:pt>
                <c:pt idx="1">
                  <c:v>0.42310801897831962</c:v>
                </c:pt>
                <c:pt idx="2">
                  <c:v>0.43546518477791307</c:v>
                </c:pt>
                <c:pt idx="3">
                  <c:v>0.36537178590661745</c:v>
                </c:pt>
                <c:pt idx="4">
                  <c:v>0.38304535902069653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90-40CA-A6D1-F8056CEB9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375247"/>
        <c:axId val="786360367"/>
      </c:lineChart>
      <c:lineChart>
        <c:grouping val="standard"/>
        <c:varyColors val="0"/>
        <c:ser>
          <c:idx val="0"/>
          <c:order val="0"/>
          <c:tx>
            <c:strRef>
              <c:f>'Financial Leverage'!$J$1</c:f>
              <c:strCache>
                <c:ptCount val="1"/>
                <c:pt idx="0">
                  <c:v>Debt-to-Assets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'Financial Leverage'!$A$2:$A$6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'Financial Leverage'!$J$2:$J$6</c:f>
              <c:numCache>
                <c:formatCode>0.00%</c:formatCode>
                <c:ptCount val="5"/>
                <c:pt idx="0">
                  <c:v>0.11821902212375765</c:v>
                </c:pt>
                <c:pt idx="1">
                  <c:v>0.10122125061168911</c:v>
                </c:pt>
                <c:pt idx="2">
                  <c:v>8.2384243804736287E-2</c:v>
                </c:pt>
                <c:pt idx="3">
                  <c:v>0.2488646684831971</c:v>
                </c:pt>
                <c:pt idx="4">
                  <c:v>0.22972254703943873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90-40CA-A6D1-F8056CEB9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190783"/>
        <c:axId val="841184543"/>
      </c:lineChart>
      <c:catAx>
        <c:axId val="78637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6360367"/>
        <c:crosses val="autoZero"/>
        <c:auto val="1"/>
        <c:lblAlgn val="ctr"/>
        <c:lblOffset val="100"/>
        <c:noMultiLvlLbl val="0"/>
      </c:catAx>
      <c:valAx>
        <c:axId val="786360367"/>
        <c:scaling>
          <c:orientation val="minMax"/>
          <c:max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28575">
            <a:solidFill>
              <a:srgbClr val="0070C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6375247"/>
        <c:crosses val="autoZero"/>
        <c:crossBetween val="between"/>
      </c:valAx>
      <c:valAx>
        <c:axId val="841184543"/>
        <c:scaling>
          <c:orientation val="minMax"/>
          <c:max val="0.25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28575"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41190783"/>
        <c:crosses val="max"/>
        <c:crossBetween val="between"/>
      </c:valAx>
      <c:catAx>
        <c:axId val="8411907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1184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Financial Leverage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Leverage'!$H$1</c:f>
              <c:strCache>
                <c:ptCount val="1"/>
                <c:pt idx="0">
                  <c:v>Debt-to-Equity</c:v>
                </c:pt>
              </c:strCache>
            </c:strRef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76000"/>
                </a:schemeClr>
              </a:solidFill>
              <a:ln w="9525">
                <a:solidFill>
                  <a:schemeClr val="accent5">
                    <a:shade val="76000"/>
                  </a:schemeClr>
                </a:solidFill>
              </a:ln>
              <a:effectLst/>
            </c:spPr>
          </c:marker>
          <c:cat>
            <c:numRef>
              <c:f>'Financial Leverage'!$A$2:$A$6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'Financial Leverage'!$H$2:$H$6</c:f>
              <c:numCache>
                <c:formatCode>0.000</c:formatCode>
                <c:ptCount val="5"/>
                <c:pt idx="0">
                  <c:v>0.2792489400363416</c:v>
                </c:pt>
                <c:pt idx="1">
                  <c:v>0.23923264526186105</c:v>
                </c:pt>
                <c:pt idx="2">
                  <c:v>0.18918675174170857</c:v>
                </c:pt>
                <c:pt idx="3">
                  <c:v>0.68112721913016694</c:v>
                </c:pt>
                <c:pt idx="4">
                  <c:v>0.59972674679247695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36-49C9-9FFA-7E1213B0D243}"/>
            </c:ext>
          </c:extLst>
        </c:ser>
        <c:ser>
          <c:idx val="1"/>
          <c:order val="1"/>
          <c:tx>
            <c:strRef>
              <c:f>'Financial Leverage'!$I$1</c:f>
              <c:strCache>
                <c:ptCount val="1"/>
                <c:pt idx="0">
                  <c:v>Net Debt-to-EBITDA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77000"/>
                </a:schemeClr>
              </a:solidFill>
              <a:ln w="9525">
                <a:solidFill>
                  <a:schemeClr val="accent5">
                    <a:tint val="77000"/>
                  </a:schemeClr>
                </a:solidFill>
              </a:ln>
              <a:effectLst/>
            </c:spPr>
          </c:marker>
          <c:cat>
            <c:numRef>
              <c:f>'Financial Leverage'!$A$2:$A$6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'Financial Leverage'!$I$2:$I$6</c:f>
              <c:numCache>
                <c:formatCode>0.000</c:formatCode>
                <c:ptCount val="5"/>
                <c:pt idx="0">
                  <c:v>0.15998638992854713</c:v>
                </c:pt>
                <c:pt idx="1">
                  <c:v>0.15295742810498555</c:v>
                </c:pt>
                <c:pt idx="2">
                  <c:v>-0.10335978993853315</c:v>
                </c:pt>
                <c:pt idx="3">
                  <c:v>1.5968137254901962</c:v>
                </c:pt>
                <c:pt idx="4">
                  <c:v>1.3552261341019833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36-49C9-9FFA-7E1213B0D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370927"/>
        <c:axId val="786351727"/>
      </c:lineChart>
      <c:catAx>
        <c:axId val="78637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6351727"/>
        <c:crosses val="autoZero"/>
        <c:auto val="1"/>
        <c:lblAlgn val="ctr"/>
        <c:lblOffset val="100"/>
        <c:noMultiLvlLbl val="0"/>
      </c:catAx>
      <c:valAx>
        <c:axId val="78635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637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Market Multiples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 Performance'!$G$1</c:f>
              <c:strCache>
                <c:ptCount val="1"/>
                <c:pt idx="0">
                  <c:v>P/E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'Market Performance'!$A$2:$A$6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'Market Performance'!$G$2:$G$6</c:f>
              <c:numCache>
                <c:formatCode>0.000</c:formatCode>
                <c:ptCount val="5"/>
                <c:pt idx="0">
                  <c:v>22.078429798885846</c:v>
                </c:pt>
                <c:pt idx="1">
                  <c:v>15.755231967490689</c:v>
                </c:pt>
                <c:pt idx="2">
                  <c:v>16.775916911123446</c:v>
                </c:pt>
                <c:pt idx="3">
                  <c:v>18.633326550387597</c:v>
                </c:pt>
                <c:pt idx="4">
                  <c:v>26.420746561886055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13-4BD4-B23B-C74349F2B3E2}"/>
            </c:ext>
          </c:extLst>
        </c:ser>
        <c:ser>
          <c:idx val="2"/>
          <c:order val="2"/>
          <c:tx>
            <c:strRef>
              <c:f>'Market Performance'!$N$1</c:f>
              <c:strCache>
                <c:ptCount val="1"/>
                <c:pt idx="0">
                  <c:v>EV/EBITDA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'Market Performance'!$A$2:$A$6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'Market Performance'!$N$2:$N$6</c:f>
              <c:numCache>
                <c:formatCode>_-* #,##0.00_-;\-* #,##0.00_-;_-* "-"_-;_-@_-</c:formatCode>
                <c:ptCount val="5"/>
                <c:pt idx="0">
                  <c:v>16.072381762504254</c:v>
                </c:pt>
                <c:pt idx="1">
                  <c:v>11.838302147431873</c:v>
                </c:pt>
                <c:pt idx="2">
                  <c:v>12.523878975950348</c:v>
                </c:pt>
                <c:pt idx="3">
                  <c:v>14.688856889978215</c:v>
                </c:pt>
                <c:pt idx="4">
                  <c:v>19.814027863564615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13-4BD4-B23B-C74349F2B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803391"/>
        <c:axId val="780812031"/>
      </c:lineChart>
      <c:lineChart>
        <c:grouping val="standard"/>
        <c:varyColors val="0"/>
        <c:ser>
          <c:idx val="1"/>
          <c:order val="1"/>
          <c:tx>
            <c:strRef>
              <c:f>'Market Performance'!$I$1</c:f>
              <c:strCache>
                <c:ptCount val="1"/>
                <c:pt idx="0">
                  <c:v>Market-to-Book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'Market Performance'!$A$2:$A$6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'Market Performance'!$I$2:$I$6</c:f>
              <c:numCache>
                <c:formatCode>0.00</c:formatCode>
                <c:ptCount val="5"/>
                <c:pt idx="0">
                  <c:v>5.6652368261659607</c:v>
                </c:pt>
                <c:pt idx="1">
                  <c:v>4.6790737434943308</c:v>
                </c:pt>
                <c:pt idx="2">
                  <c:v>4.7706951051789055</c:v>
                </c:pt>
                <c:pt idx="3">
                  <c:v>4.2302820247706627</c:v>
                </c:pt>
                <c:pt idx="4">
                  <c:v>5.7418013363789679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13-4BD4-B23B-C74349F2B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801471"/>
        <c:axId val="780787071"/>
      </c:lineChart>
      <c:catAx>
        <c:axId val="78080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812031"/>
        <c:crosses val="autoZero"/>
        <c:auto val="1"/>
        <c:lblAlgn val="ctr"/>
        <c:lblOffset val="100"/>
        <c:noMultiLvlLbl val="0"/>
      </c:catAx>
      <c:valAx>
        <c:axId val="78081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803391"/>
        <c:crosses val="autoZero"/>
        <c:crossBetween val="between"/>
      </c:valAx>
      <c:valAx>
        <c:axId val="780787071"/>
        <c:scaling>
          <c:orientation val="minMax"/>
          <c:max val="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28575"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801471"/>
        <c:crosses val="max"/>
        <c:crossBetween val="between"/>
      </c:valAx>
      <c:catAx>
        <c:axId val="7808014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07870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 Performance'!$O$1</c:f>
              <c:strCache>
                <c:ptCount val="1"/>
                <c:pt idx="0">
                  <c:v>Annual Stock Return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'Market Performance'!$A$2:$A$6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'Market Performance'!$O$2:$O$6</c:f>
              <c:numCache>
                <c:formatCode>0.00%</c:formatCode>
                <c:ptCount val="5"/>
                <c:pt idx="0">
                  <c:v>0.17728237791932061</c:v>
                </c:pt>
                <c:pt idx="1">
                  <c:v>-0.18340847610459876</c:v>
                </c:pt>
                <c:pt idx="2">
                  <c:v>0.14929328621908122</c:v>
                </c:pt>
                <c:pt idx="3">
                  <c:v>-7.7824750192159828E-2</c:v>
                </c:pt>
                <c:pt idx="4">
                  <c:v>0.41529485309439462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36-482A-A5CF-150221F1A5D8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786362767"/>
        <c:axId val="786367567"/>
      </c:lineChart>
      <c:catAx>
        <c:axId val="786362767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6367567"/>
        <c:crosses val="max"/>
        <c:auto val="1"/>
        <c:lblAlgn val="ctr"/>
        <c:lblOffset val="100"/>
        <c:noMultiLvlLbl val="0"/>
      </c:catAx>
      <c:valAx>
        <c:axId val="786367567"/>
        <c:scaling>
          <c:orientation val="minMax"/>
          <c:max val="0.45"/>
          <c:min val="-0.2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636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Sovereign Risk Indicators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analysis'!$D$1</c:f>
              <c:strCache>
                <c:ptCount val="1"/>
                <c:pt idx="0">
                  <c:v>CDS Spread (5Y, bps)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analysis'!$A$2:$A$5</c:f>
              <c:strCache>
                <c:ptCount val="4"/>
                <c:pt idx="0">
                  <c:v>United States</c:v>
                </c:pt>
                <c:pt idx="1">
                  <c:v>China</c:v>
                </c:pt>
                <c:pt idx="2">
                  <c:v>India</c:v>
                </c:pt>
                <c:pt idx="3">
                  <c:v>Germany</c:v>
                </c:pt>
              </c:strCache>
            </c:strRef>
          </c:cat>
          <c:val>
            <c:numRef>
              <c:f>'Risk analysis'!$D$2:$D$5</c:f>
              <c:numCache>
                <c:formatCode>0.00</c:formatCode>
                <c:ptCount val="4"/>
                <c:pt idx="0">
                  <c:v>35.51</c:v>
                </c:pt>
                <c:pt idx="1">
                  <c:v>41.99</c:v>
                </c:pt>
                <c:pt idx="2">
                  <c:v>87.67</c:v>
                </c:pt>
                <c:pt idx="3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5-4DE7-A563-F1269C419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7703488"/>
        <c:axId val="1337704448"/>
      </c:barChart>
      <c:lineChart>
        <c:grouping val="standard"/>
        <c:varyColors val="0"/>
        <c:ser>
          <c:idx val="1"/>
          <c:order val="1"/>
          <c:tx>
            <c:strRef>
              <c:f>'Risk analysis'!$F$1</c:f>
              <c:strCache>
                <c:ptCount val="1"/>
                <c:pt idx="0">
                  <c:v>Country Risk Premium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'Risk analysis'!$A$2:$A$5</c:f>
              <c:strCache>
                <c:ptCount val="4"/>
                <c:pt idx="0">
                  <c:v>United States</c:v>
                </c:pt>
                <c:pt idx="1">
                  <c:v>China</c:v>
                </c:pt>
                <c:pt idx="2">
                  <c:v>India</c:v>
                </c:pt>
                <c:pt idx="3">
                  <c:v>Germany</c:v>
                </c:pt>
              </c:strCache>
            </c:strRef>
          </c:cat>
          <c:val>
            <c:numRef>
              <c:f>'Risk analysis'!$F$2:$F$5</c:f>
              <c:numCache>
                <c:formatCode>0.00%</c:formatCode>
                <c:ptCount val="4"/>
                <c:pt idx="0">
                  <c:v>2.3E-3</c:v>
                </c:pt>
                <c:pt idx="1">
                  <c:v>9.1000000000000004E-3</c:v>
                </c:pt>
                <c:pt idx="2">
                  <c:v>2.8500000000000001E-2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5-4DE7-A563-F1269C419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7723168"/>
        <c:axId val="1337724608"/>
      </c:lineChart>
      <c:catAx>
        <c:axId val="133770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7704448"/>
        <c:crosses val="autoZero"/>
        <c:auto val="1"/>
        <c:lblAlgn val="ctr"/>
        <c:lblOffset val="100"/>
        <c:noMultiLvlLbl val="0"/>
      </c:catAx>
      <c:valAx>
        <c:axId val="133770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28575">
            <a:solidFill>
              <a:srgbClr val="0070C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7703488"/>
        <c:crosses val="autoZero"/>
        <c:crossBetween val="between"/>
      </c:valAx>
      <c:valAx>
        <c:axId val="133772460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 w="28575"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7723168"/>
        <c:crosses val="max"/>
        <c:crossBetween val="between"/>
      </c:valAx>
      <c:catAx>
        <c:axId val="13377231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7724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Inflation Rate by Country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analysis'!$E$1</c:f>
              <c:strCache>
                <c:ptCount val="1"/>
                <c:pt idx="0">
                  <c:v>Inflation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'Risk analysis'!$A$2:$A$5</c:f>
              <c:strCache>
                <c:ptCount val="4"/>
                <c:pt idx="0">
                  <c:v>United States</c:v>
                </c:pt>
                <c:pt idx="1">
                  <c:v>China</c:v>
                </c:pt>
                <c:pt idx="2">
                  <c:v>India</c:v>
                </c:pt>
                <c:pt idx="3">
                  <c:v>Germany</c:v>
                </c:pt>
              </c:strCache>
            </c:strRef>
          </c:cat>
          <c:val>
            <c:numRef>
              <c:f>'Risk analysis'!$E$2:$E$5</c:f>
              <c:numCache>
                <c:formatCode>0.00%</c:formatCode>
                <c:ptCount val="4"/>
                <c:pt idx="0">
                  <c:v>2.9495252048520701E-2</c:v>
                </c:pt>
                <c:pt idx="1">
                  <c:v>2.18128938439177E-3</c:v>
                </c:pt>
                <c:pt idx="2">
                  <c:v>4.95303550973656E-2</c:v>
                </c:pt>
                <c:pt idx="3">
                  <c:v>2.2564981433875999E-2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B-4883-81B9-2D440076CF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7712128"/>
        <c:axId val="1337716928"/>
      </c:barChart>
      <c:catAx>
        <c:axId val="133771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7716928"/>
        <c:crosses val="autoZero"/>
        <c:auto val="1"/>
        <c:lblAlgn val="ctr"/>
        <c:lblOffset val="100"/>
        <c:noMultiLvlLbl val="0"/>
      </c:catAx>
      <c:valAx>
        <c:axId val="1337716928"/>
        <c:scaling>
          <c:orientation val="minMax"/>
          <c:max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771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Beta Estimation</a:t>
            </a:r>
          </a:p>
        </c:rich>
      </c:tx>
      <c:layout>
        <c:manualLayout>
          <c:xMode val="edge"/>
          <c:yMode val="edge"/>
          <c:x val="0.3970936902485659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5428704777103622E-2"/>
                  <c:y val="-0.280052128900554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'Cost of Equity'!$E$3:$E$25</c:f>
              <c:numCache>
                <c:formatCode>0.000%</c:formatCode>
                <c:ptCount val="23"/>
                <c:pt idx="0">
                  <c:v>5.2186878727634278E-2</c:v>
                </c:pt>
                <c:pt idx="1">
                  <c:v>2.9503227838135748E-2</c:v>
                </c:pt>
                <c:pt idx="2">
                  <c:v>-4.0319651289502434E-2</c:v>
                </c:pt>
                <c:pt idx="3">
                  <c:v>5.0579704370691925E-2</c:v>
                </c:pt>
                <c:pt idx="4">
                  <c:v>3.1951002142708296E-2</c:v>
                </c:pt>
                <c:pt idx="5">
                  <c:v>1.2109073536437309E-2</c:v>
                </c:pt>
                <c:pt idx="6">
                  <c:v>2.3365588860042585E-2</c:v>
                </c:pt>
                <c:pt idx="7">
                  <c:v>1.7882486517172946E-2</c:v>
                </c:pt>
                <c:pt idx="8">
                  <c:v>-8.9235917456776948E-3</c:v>
                </c:pt>
                <c:pt idx="9">
                  <c:v>5.9633511536297146E-2</c:v>
                </c:pt>
                <c:pt idx="10">
                  <c:v>-2.7333831217326243E-2</c:v>
                </c:pt>
                <c:pt idx="11">
                  <c:v>2.6856401856401924E-2</c:v>
                </c:pt>
                <c:pt idx="12">
                  <c:v>-1.2694825695390821E-2</c:v>
                </c:pt>
                <c:pt idx="13">
                  <c:v>-5.8551280756673041E-2</c:v>
                </c:pt>
                <c:pt idx="14">
                  <c:v>-8.6701585655803992E-3</c:v>
                </c:pt>
                <c:pt idx="15">
                  <c:v>6.2844880441446982E-2</c:v>
                </c:pt>
                <c:pt idx="16">
                  <c:v>4.8287212202446694E-2</c:v>
                </c:pt>
                <c:pt idx="17">
                  <c:v>2.3031480132718274E-2</c:v>
                </c:pt>
                <c:pt idx="18">
                  <c:v>2.0519554486773783E-2</c:v>
                </c:pt>
                <c:pt idx="19">
                  <c:v>3.2757150608480057E-2</c:v>
                </c:pt>
                <c:pt idx="20">
                  <c:v>2.38374013029512E-2</c:v>
                </c:pt>
                <c:pt idx="21">
                  <c:v>1.9499750755065381E-3</c:v>
                </c:pt>
                <c:pt idx="22">
                  <c:v>-2.1510411331743251E-3</c:v>
                </c:pt>
              </c:numCache>
            </c:numRef>
          </c:xVal>
          <c:yVal>
            <c:numRef>
              <c:f>'Cost of Equity'!$D$3:$D$25</c:f>
              <c:numCache>
                <c:formatCode>0.000%</c:formatCode>
                <c:ptCount val="23"/>
                <c:pt idx="0">
                  <c:v>-3.6070147469111191E-2</c:v>
                </c:pt>
                <c:pt idx="1">
                  <c:v>3.183791606367592E-2</c:v>
                </c:pt>
                <c:pt idx="2">
                  <c:v>-5.8705670206371519E-2</c:v>
                </c:pt>
                <c:pt idx="3">
                  <c:v>-1.0217113665389466E-2</c:v>
                </c:pt>
                <c:pt idx="4">
                  <c:v>2.1720430107526889E-2</c:v>
                </c:pt>
                <c:pt idx="5">
                  <c:v>1.9785308356135678E-2</c:v>
                </c:pt>
                <c:pt idx="6">
                  <c:v>4.3137254901960631E-2</c:v>
                </c:pt>
                <c:pt idx="7">
                  <c:v>5.3027305104867528E-2</c:v>
                </c:pt>
                <c:pt idx="8">
                  <c:v>2.9124389327320532E-2</c:v>
                </c:pt>
                <c:pt idx="9">
                  <c:v>8.1066277159028699E-2</c:v>
                </c:pt>
                <c:pt idx="10">
                  <c:v>-1.6889039013678886E-4</c:v>
                </c:pt>
                <c:pt idx="11">
                  <c:v>2.3648648648648685E-2</c:v>
                </c:pt>
                <c:pt idx="12">
                  <c:v>5.7920792079207972E-2</c:v>
                </c:pt>
                <c:pt idx="13">
                  <c:v>-3.7435657463734229E-2</c:v>
                </c:pt>
                <c:pt idx="14">
                  <c:v>-6.4495219575433582E-2</c:v>
                </c:pt>
                <c:pt idx="15">
                  <c:v>9.1979906461112204E-2</c:v>
                </c:pt>
                <c:pt idx="16">
                  <c:v>0.10057106598984755</c:v>
                </c:pt>
                <c:pt idx="17">
                  <c:v>-1.8737388296338975E-2</c:v>
                </c:pt>
                <c:pt idx="18">
                  <c:v>1.4835487661574609E-2</c:v>
                </c:pt>
                <c:pt idx="19">
                  <c:v>-9.6974960196845039E-3</c:v>
                </c:pt>
                <c:pt idx="20">
                  <c:v>6.8547208418590966E-2</c:v>
                </c:pt>
                <c:pt idx="21">
                  <c:v>5.2386814389276504E-2</c:v>
                </c:pt>
                <c:pt idx="22">
                  <c:v>1.1697426566155134E-3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A3-4941-936E-07187688D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14848"/>
        <c:axId val="56413888"/>
      </c:scatterChart>
      <c:valAx>
        <c:axId val="564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Market Returns</a:t>
                </a:r>
              </a:p>
            </c:rich>
          </c:tx>
          <c:layout>
            <c:manualLayout>
              <c:xMode val="edge"/>
              <c:yMode val="edge"/>
              <c:x val="0.45705183601571792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413888"/>
        <c:crosses val="autoZero"/>
        <c:crossBetween val="midCat"/>
      </c:valAx>
      <c:valAx>
        <c:axId val="5641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Cisco Returns</a:t>
                </a:r>
              </a:p>
            </c:rich>
          </c:tx>
          <c:layout>
            <c:manualLayout>
              <c:xMode val="edge"/>
              <c:yMode val="edge"/>
              <c:x val="3.0555597376331782E-2"/>
              <c:y val="0.370196485855934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0"/>
        <c:majorTickMark val="none"/>
        <c:minorTickMark val="none"/>
        <c:tickLblPos val="low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41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Capital Structure Composition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59-492A-9A68-87EDC86224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59-492A-9A68-87EDC86224A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30DBBC1-C6B7-4FED-9A2A-C319D9FB9764}" type="PERCENTAGE">
                      <a:rPr lang="en-US" b="1">
                        <a:solidFill>
                          <a:schemeClr val="accent1"/>
                        </a:solidFill>
                      </a:rPr>
                      <a:pPr/>
                      <a:t>[PERCENTUALE]</a:t>
                    </a:fld>
                    <a:endParaRPr lang="it-I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D59-492A-9A68-87EDC86224A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81E0121-3DE8-4290-BF6A-8647FC68EB68}" type="PERCENTAGE">
                      <a:rPr lang="en-US" b="1">
                        <a:solidFill>
                          <a:schemeClr val="accent2"/>
                        </a:solidFill>
                      </a:rPr>
                      <a:pPr/>
                      <a:t>[PERCENTUALE]</a:t>
                    </a:fld>
                    <a:endParaRPr lang="it-I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D59-492A-9A68-87EDC86224AA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('Cost of Debt'!$A$16,'Cost of Debt'!$A$17)</c:f>
              <c:strCache>
                <c:ptCount val="2"/>
                <c:pt idx="0">
                  <c:v>Equity Weight</c:v>
                </c:pt>
                <c:pt idx="1">
                  <c:v>Debt Weight</c:v>
                </c:pt>
              </c:strCache>
            </c:strRef>
          </c:cat>
          <c:val>
            <c:numRef>
              <c:f>('Cost of Debt'!$B$16,'Cost of Debt'!$B$17)</c:f>
              <c:numCache>
                <c:formatCode>General</c:formatCode>
                <c:ptCount val="2"/>
                <c:pt idx="0">
                  <c:v>0.90542860605407738</c:v>
                </c:pt>
                <c:pt idx="1">
                  <c:v>9.4571393945922649E-2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3-42E1-A15B-0E0AF0A919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WACC Components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('Cost of Debt'!$A$10,'Cost of Debt'!$A$18,'Cost of Debt'!$A$19)</c:f>
              <c:strCache>
                <c:ptCount val="3"/>
                <c:pt idx="0">
                  <c:v>Cost of Equity (ke)</c:v>
                </c:pt>
                <c:pt idx="1">
                  <c:v>After-tax Cost of Debt</c:v>
                </c:pt>
                <c:pt idx="2">
                  <c:v>WACC</c:v>
                </c:pt>
              </c:strCache>
            </c:strRef>
          </c:cat>
          <c:val>
            <c:numRef>
              <c:f>('Cost of Debt'!$B$10,'Cost of Debt'!$B$18,'Cost of Debt'!$B$19)</c:f>
              <c:numCache>
                <c:formatCode>0.00%</c:formatCode>
                <c:ptCount val="3"/>
                <c:pt idx="0">
                  <c:v>7.4525814114187766E-2</c:v>
                </c:pt>
                <c:pt idx="1">
                  <c:v>4.2581000000000008E-2</c:v>
                </c:pt>
                <c:pt idx="2">
                  <c:v>7.1504748514065658E-2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C-4660-9D37-8CC0FA9BE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425408"/>
        <c:axId val="56432128"/>
      </c:barChart>
      <c:catAx>
        <c:axId val="5642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432128"/>
        <c:crosses val="autoZero"/>
        <c:auto val="1"/>
        <c:lblAlgn val="ctr"/>
        <c:lblOffset val="100"/>
        <c:noMultiLvlLbl val="0"/>
      </c:catAx>
      <c:valAx>
        <c:axId val="5643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42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DCF Valuation Breakdown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'Company Valuation'!$J$14</c:f>
              <c:strCache>
                <c:ptCount val="1"/>
                <c:pt idx="0">
                  <c:v>FCFE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'Company Valuation'!$I$15:$I$16</c:f>
              <c:strCache>
                <c:ptCount val="2"/>
                <c:pt idx="0">
                  <c:v>Total PV Forecast Cash Flows</c:v>
                </c:pt>
                <c:pt idx="1">
                  <c:v>PV Terminal Value</c:v>
                </c:pt>
              </c:strCache>
            </c:strRef>
          </c:cat>
          <c:val>
            <c:numRef>
              <c:f>'Company Valuation'!$J$15:$J$16</c:f>
              <c:numCache>
                <c:formatCode>#,##0</c:formatCode>
                <c:ptCount val="2"/>
                <c:pt idx="0">
                  <c:v>24936.721937554445</c:v>
                </c:pt>
                <c:pt idx="1">
                  <c:v>95631.015491705999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E-4E70-B385-13A2939F2CA9}"/>
            </c:ext>
          </c:extLst>
        </c:ser>
        <c:ser>
          <c:idx val="2"/>
          <c:order val="1"/>
          <c:tx>
            <c:strRef>
              <c:f>'Company Valuation'!$L$14</c:f>
              <c:strCache>
                <c:ptCount val="1"/>
                <c:pt idx="0">
                  <c:v>FCFF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'Company Valuation'!$I$15:$I$16</c:f>
              <c:strCache>
                <c:ptCount val="2"/>
                <c:pt idx="0">
                  <c:v>Total PV Forecast Cash Flows</c:v>
                </c:pt>
                <c:pt idx="1">
                  <c:v>PV Terminal Value</c:v>
                </c:pt>
              </c:strCache>
            </c:strRef>
          </c:cat>
          <c:val>
            <c:numRef>
              <c:f>'Company Valuation'!$L$15:$L$16</c:f>
              <c:numCache>
                <c:formatCode>#,##0</c:formatCode>
                <c:ptCount val="2"/>
                <c:pt idx="0">
                  <c:v>34071.589952827962</c:v>
                </c:pt>
                <c:pt idx="1">
                  <c:v>139965.11180733249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E-4E70-B385-13A2939F2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27408"/>
        <c:axId val="48326448"/>
      </c:barChart>
      <c:catAx>
        <c:axId val="4832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8326448"/>
        <c:crosses val="autoZero"/>
        <c:auto val="1"/>
        <c:lblAlgn val="ctr"/>
        <c:lblOffset val="100"/>
        <c:noMultiLvlLbl val="0"/>
      </c:catAx>
      <c:valAx>
        <c:axId val="48326448"/>
        <c:scaling>
          <c:orientation val="minMax"/>
          <c:max val="1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832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DCF Equity Value vs Market Capitalization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5-48B1-B7F6-4725A0BFDC3D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5-48B1-B7F6-4725A0BFDC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('Company Valuation'!$I$21,'Company Valuation'!$I$23,'Company Valuation'!$I$24)</c:f>
              <c:strCache>
                <c:ptCount val="3"/>
                <c:pt idx="0">
                  <c:v>Equity Value (FCFE)</c:v>
                </c:pt>
                <c:pt idx="1">
                  <c:v>Equity Value from FCFF</c:v>
                </c:pt>
                <c:pt idx="2">
                  <c:v>Market Capitalization</c:v>
                </c:pt>
              </c:strCache>
            </c:strRef>
          </c:cat>
          <c:val>
            <c:numRef>
              <c:f>('Company Valuation'!$J$21,'Company Valuation'!$J$23,'Company Valuation'!$J$24)</c:f>
              <c:numCache>
                <c:formatCode>#,##0</c:formatCode>
                <c:ptCount val="3"/>
                <c:pt idx="0">
                  <c:v>120567.73742926045</c:v>
                </c:pt>
                <c:pt idx="1">
                  <c:v>154289.70176016045</c:v>
                </c:pt>
                <c:pt idx="2">
                  <c:v>268963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5-48B1-B7F6-4725A0BFD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58128"/>
        <c:axId val="48354768"/>
      </c:barChart>
      <c:catAx>
        <c:axId val="4835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8354768"/>
        <c:crosses val="autoZero"/>
        <c:auto val="1"/>
        <c:lblAlgn val="ctr"/>
        <c:lblOffset val="100"/>
        <c:noMultiLvlLbl val="0"/>
      </c:catAx>
      <c:valAx>
        <c:axId val="4835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835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6</xdr:row>
      <xdr:rowOff>176212</xdr:rowOff>
    </xdr:from>
    <xdr:to>
      <xdr:col>7</xdr:col>
      <xdr:colOff>447675</xdr:colOff>
      <xdr:row>21</xdr:row>
      <xdr:rowOff>61912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580FC75-A404-54E5-D583-8AFB2F5BB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290512</xdr:colOff>
      <xdr:row>6</xdr:row>
      <xdr:rowOff>185737</xdr:rowOff>
    </xdr:from>
    <xdr:to>
      <xdr:col>15</xdr:col>
      <xdr:colOff>461962</xdr:colOff>
      <xdr:row>21</xdr:row>
      <xdr:rowOff>71437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3CF15862-A61B-D4EA-9381-393CC86DC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0</xdr:row>
      <xdr:rowOff>157162</xdr:rowOff>
    </xdr:from>
    <xdr:to>
      <xdr:col>14</xdr:col>
      <xdr:colOff>561975</xdr:colOff>
      <xdr:row>13</xdr:row>
      <xdr:rowOff>176212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4B51440-ACF8-AC97-73BB-EBC0342FA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22</xdr:row>
      <xdr:rowOff>33337</xdr:rowOff>
    </xdr:from>
    <xdr:to>
      <xdr:col>8</xdr:col>
      <xdr:colOff>485775</xdr:colOff>
      <xdr:row>36</xdr:row>
      <xdr:rowOff>109537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3FF825FA-59D7-F298-0643-E84F96146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514349</xdr:colOff>
      <xdr:row>8</xdr:row>
      <xdr:rowOff>33337</xdr:rowOff>
    </xdr:from>
    <xdr:to>
      <xdr:col>8</xdr:col>
      <xdr:colOff>457200</xdr:colOff>
      <xdr:row>21</xdr:row>
      <xdr:rowOff>90487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5AB9DE0-DF33-06AC-03DD-432FBD7E8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685799</xdr:colOff>
      <xdr:row>8</xdr:row>
      <xdr:rowOff>14287</xdr:rowOff>
    </xdr:from>
    <xdr:to>
      <xdr:col>13</xdr:col>
      <xdr:colOff>1000124</xdr:colOff>
      <xdr:row>21</xdr:row>
      <xdr:rowOff>71437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5D29E03-82B1-696D-DF87-5B1EB98CB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666749</xdr:colOff>
      <xdr:row>22</xdr:row>
      <xdr:rowOff>52387</xdr:rowOff>
    </xdr:from>
    <xdr:to>
      <xdr:col>13</xdr:col>
      <xdr:colOff>962024</xdr:colOff>
      <xdr:row>36</xdr:row>
      <xdr:rowOff>128587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6A020A1-A257-E6D6-7F83-27CE10A5C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7</xdr:row>
      <xdr:rowOff>90487</xdr:rowOff>
    </xdr:from>
    <xdr:to>
      <xdr:col>4</xdr:col>
      <xdr:colOff>828675</xdr:colOff>
      <xdr:row>21</xdr:row>
      <xdr:rowOff>166687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0532D89-A4A7-6B7C-FF35-B8274C2DC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1104900</xdr:colOff>
      <xdr:row>7</xdr:row>
      <xdr:rowOff>90487</xdr:rowOff>
    </xdr:from>
    <xdr:to>
      <xdr:col>8</xdr:col>
      <xdr:colOff>809625</xdr:colOff>
      <xdr:row>21</xdr:row>
      <xdr:rowOff>166687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E20FE63-FFBE-BD2D-0080-D76F4347C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6</xdr:row>
      <xdr:rowOff>176212</xdr:rowOff>
    </xdr:from>
    <xdr:to>
      <xdr:col>5</xdr:col>
      <xdr:colOff>400051</xdr:colOff>
      <xdr:row>21</xdr:row>
      <xdr:rowOff>61912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4510242-BCF8-2F6E-D5ED-FE6797E9E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1009650</xdr:colOff>
      <xdr:row>6</xdr:row>
      <xdr:rowOff>176212</xdr:rowOff>
    </xdr:from>
    <xdr:to>
      <xdr:col>9</xdr:col>
      <xdr:colOff>742950</xdr:colOff>
      <xdr:row>21</xdr:row>
      <xdr:rowOff>57150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CA432CE-BCA1-77DA-2B12-4DFC7C754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6</xdr:row>
      <xdr:rowOff>147637</xdr:rowOff>
    </xdr:from>
    <xdr:to>
      <xdr:col>6</xdr:col>
      <xdr:colOff>285750</xdr:colOff>
      <xdr:row>21</xdr:row>
      <xdr:rowOff>33337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00AF358-ADD2-D960-B24A-BF7EF3A58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352425</xdr:colOff>
      <xdr:row>6</xdr:row>
      <xdr:rowOff>166687</xdr:rowOff>
    </xdr:from>
    <xdr:to>
      <xdr:col>13</xdr:col>
      <xdr:colOff>142875</xdr:colOff>
      <xdr:row>21</xdr:row>
      <xdr:rowOff>52387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8EC243C-83F8-1E23-EBE4-B29355EE9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6</xdr:row>
      <xdr:rowOff>52387</xdr:rowOff>
    </xdr:from>
    <xdr:to>
      <xdr:col>2</xdr:col>
      <xdr:colOff>1152525</xdr:colOff>
      <xdr:row>20</xdr:row>
      <xdr:rowOff>128587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B7F67500-2795-412A-BE00-8A567BA29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466725</xdr:colOff>
      <xdr:row>6</xdr:row>
      <xdr:rowOff>52387</xdr:rowOff>
    </xdr:from>
    <xdr:to>
      <xdr:col>6</xdr:col>
      <xdr:colOff>714375</xdr:colOff>
      <xdr:row>20</xdr:row>
      <xdr:rowOff>128587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8D2692D7-1521-7803-FA66-73A6D5518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7</xdr:row>
      <xdr:rowOff>176212</xdr:rowOff>
    </xdr:from>
    <xdr:to>
      <xdr:col>10</xdr:col>
      <xdr:colOff>76200</xdr:colOff>
      <xdr:row>22</xdr:row>
      <xdr:rowOff>61912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13908AE2-68CE-5AEE-D253-D90A0CC7C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1</xdr:row>
      <xdr:rowOff>223837</xdr:rowOff>
    </xdr:from>
    <xdr:to>
      <xdr:col>8</xdr:col>
      <xdr:colOff>495300</xdr:colOff>
      <xdr:row>15</xdr:row>
      <xdr:rowOff>138112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5F9A6BD-DBB2-9E7F-197E-36DD14FEE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1</xdr:row>
      <xdr:rowOff>214312</xdr:rowOff>
    </xdr:from>
    <xdr:to>
      <xdr:col>16</xdr:col>
      <xdr:colOff>419100</xdr:colOff>
      <xdr:row>15</xdr:row>
      <xdr:rowOff>128587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ACD0330F-108D-A543-A159-1A2403D95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25</xdr:row>
      <xdr:rowOff>176212</xdr:rowOff>
    </xdr:from>
    <xdr:to>
      <xdr:col>8</xdr:col>
      <xdr:colOff>19050</xdr:colOff>
      <xdr:row>40</xdr:row>
      <xdr:rowOff>52387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38A810C-1B91-8E9F-A488-4C30516AF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361950</xdr:colOff>
      <xdr:row>25</xdr:row>
      <xdr:rowOff>176212</xdr:rowOff>
    </xdr:from>
    <xdr:to>
      <xdr:col>11</xdr:col>
      <xdr:colOff>333375</xdr:colOff>
      <xdr:row>40</xdr:row>
      <xdr:rowOff>52387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452A272-19DC-6B88-514B-CB32BE5B1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E3017-21F6-4D8F-A73F-CBEB83107563}" name="Tabella1" displayName="Tabella1" ref="A1:I6" totalsRowShown="0" headerRowDxfId="140" dataDxfId="139">
  <autoFilter ref="A1:I6" xr:uid="{27EE3017-21F6-4D8F-A73F-CBEB83107563}"/>
  <sortState xmlns:xlrd2="http://schemas.microsoft.com/office/spreadsheetml/2017/richdata2" ref="A2:H6">
    <sortCondition ref="A1:A6"/>
  </sortState>
  <tableColumns count="9">
    <tableColumn id="1" xr3:uid="{97D89F80-4D0C-4C09-A725-0FEFC16C1CB5}" name="Year" dataDxfId="138"/>
    <tableColumn id="2" xr3:uid="{C4CC406F-D560-4875-B9EE-3285792AE6EC}" name="Americas" dataDxfId="137"/>
    <tableColumn id="3" xr3:uid="{9E35542A-D945-4ED1-91F2-9E22917E5E39}" name="EMEA" dataDxfId="136"/>
    <tableColumn id="4" xr3:uid="{0A65CA06-AC28-4D10-A885-25C2B517977D}" name="APJC" dataDxfId="135"/>
    <tableColumn id="5" xr3:uid="{1B7A3B83-649B-41DD-966D-9DD82B34D800}" name="Total" dataDxfId="134"/>
    <tableColumn id="6" xr3:uid="{D662EA27-CBE3-43A1-A40E-0445FD5E45F9}" name="Americas%" dataDxfId="133" dataCellStyle="Percentuale">
      <calculatedColumnFormula>Tabella1[[#This Row],[Americas]]/Tabella1[[#This Row],[Total]]</calculatedColumnFormula>
    </tableColumn>
    <tableColumn id="7" xr3:uid="{05FF188F-798B-43E7-8AB4-5D706003FF0E}" name="EMEA%" dataDxfId="132" dataCellStyle="Percentuale">
      <calculatedColumnFormula>Tabella1[[#This Row],[EMEA]]/Tabella1[[#This Row],[Total]]</calculatedColumnFormula>
    </tableColumn>
    <tableColumn id="8" xr3:uid="{2B97026D-93B5-43A5-835C-CFCC753FD1AE}" name="APJC%" dataDxfId="131" dataCellStyle="Percentuale">
      <calculatedColumnFormula>Tabella1[[#This Row],[APJC]]/Tabella1[[#This Row],[Total]]</calculatedColumnFormula>
    </tableColumn>
    <tableColumn id="9" xr3:uid="{3328AF01-07E7-4556-B736-3C4B6B88ACC0}" name="Revenue Growth" dataDxfId="130" dataCellStyle="Percentuale">
      <calculatedColumnFormula>(Tabella1[[#This Row],[Total]]-E1)/E1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F26AE4F-6639-4942-9661-55499EDAFEF1}" name="Tabella11" displayName="Tabella11" ref="A1:F6" totalsRowShown="0" headerRowDxfId="129">
  <autoFilter ref="A1:F6" xr:uid="{3F26AE4F-6639-4942-9661-55499EDAFEF1}"/>
  <tableColumns count="6">
    <tableColumn id="1" xr3:uid="{D114483F-DC27-4974-8C7A-5DCCF1583031}" name="Year" dataDxfId="128"/>
    <tableColumn id="2" xr3:uid="{2DE32C94-00C1-4DC3-8269-1F630855D32E}" name="Revenue" dataDxfId="127"/>
    <tableColumn id="3" xr3:uid="{8D2F9376-D36F-474D-BED9-A04AF07AFB3C}" name="Cost Of Sales" dataDxfId="126"/>
    <tableColumn id="4" xr3:uid="{D2742682-B8DF-41D2-B01B-A3FFC247BAD9}" name="Gross Margin" dataDxfId="125">
      <calculatedColumnFormula>B2-C2</calculatedColumnFormula>
    </tableColumn>
    <tableColumn id="5" xr3:uid="{D76593AD-7ECA-4D98-A8AF-895325D4AA98}" name="Cost%" dataDxfId="124" dataCellStyle="Percentuale">
      <calculatedColumnFormula>Tabella11[[#This Row],[Cost Of Sales]]/Tabella11[[#This Row],[Revenue]]</calculatedColumnFormula>
    </tableColumn>
    <tableColumn id="6" xr3:uid="{716DA8D4-5C99-4590-8C32-CEF6640D30DD}" name="Margin%" dataDxfId="123" dataCellStyle="Percentuale">
      <calculatedColumnFormula>Tabella11[[#This Row],[Gross Margin]]/Tabella11[[#This Row],[Revenue]]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C8CE6E-4942-4D56-9155-F8BBB1628A8A}" name="Tabella2" displayName="Tabella2" ref="A1:O7" totalsRowShown="0" headerRowDxfId="122" dataDxfId="121" dataCellStyle="Percentuale">
  <autoFilter ref="A1:O7" xr:uid="{95C8CE6E-4942-4D56-9155-F8BBB1628A8A}"/>
  <sortState xmlns:xlrd2="http://schemas.microsoft.com/office/spreadsheetml/2017/richdata2" ref="A2:O7">
    <sortCondition ref="A2:A7"/>
  </sortState>
  <tableColumns count="15">
    <tableColumn id="1" xr3:uid="{047B3E5D-25FB-4FBA-97C6-4DC70BD51582}" name="Year" dataDxfId="120"/>
    <tableColumn id="2" xr3:uid="{F59D159E-6C39-40F8-A167-5C1741D42D6C}" name="Revenue" dataDxfId="119"/>
    <tableColumn id="3" xr3:uid="{0CFF1041-7B4A-4BE9-A938-F60398E94C20}" name="Net Income" dataDxfId="118"/>
    <tableColumn id="4" xr3:uid="{A4689F9A-7EA4-47C3-978C-0E40EC9ABDA2}" name="EBIT" dataDxfId="117"/>
    <tableColumn id="5" xr3:uid="{2952F925-33D4-4DD7-874F-B4485671E6D9}" name="Depreciation" dataDxfId="116"/>
    <tableColumn id="6" xr3:uid="{A1535499-6ABB-4974-B6BA-42141D91F469}" name="Total Assets" dataDxfId="115"/>
    <tableColumn id="7" xr3:uid="{F997957A-0FEE-40DB-898E-3B0CFB69A2AF}" name="Total Equity" dataDxfId="114" dataCellStyle="Valuta"/>
    <tableColumn id="8" xr3:uid="{8A9834F3-83AE-45D1-9C1F-38F5181DB2A1}" name="EBITDA" dataDxfId="113"/>
    <tableColumn id="11" xr3:uid="{272B53B7-72B4-45C1-8F1B-22C867BCDA0F}" name="Net Profit Margin " dataDxfId="112" dataCellStyle="Percentuale"/>
    <tableColumn id="12" xr3:uid="{387A9566-1C0A-49BA-8338-1DF3C2560F2D}" name="EBIT Margin" dataDxfId="111" dataCellStyle="Percentuale"/>
    <tableColumn id="13" xr3:uid="{5B0C1E88-7A8D-4EBC-95DA-67819319F5B9}" name="ROA " dataDxfId="110" dataCellStyle="Percentuale"/>
    <tableColumn id="14" xr3:uid="{0B2B8C11-3E74-4EDB-9047-1E013CDAFA82}" name="ROE" dataDxfId="109" dataCellStyle="Percentuale"/>
    <tableColumn id="15" xr3:uid="{9F04026F-CA78-4724-A110-CDD3A9621F13}" name="Asset Turnover" dataDxfId="108" dataCellStyle="Percentuale"/>
    <tableColumn id="16" xr3:uid="{92FCD1C6-B651-4454-8CDB-E3AF092A45D7}" name="Equity Multiplier" dataDxfId="107"/>
    <tableColumn id="17" xr3:uid="{DAA8265B-CCC2-4E29-A7EE-CC6334E20C44}" name="ROE (DUPONT)" dataDxfId="106" dataCellStyle="Percentua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361D63-B653-4FA0-AC2C-D172EFFCBD39}" name="Tabella5" displayName="Tabella5" ref="A11:C17" totalsRowShown="0">
  <autoFilter ref="A11:C17" xr:uid="{36361D63-B653-4FA0-AC2C-D172EFFCBD39}"/>
  <sortState xmlns:xlrd2="http://schemas.microsoft.com/office/spreadsheetml/2017/richdata2" ref="A12:B17">
    <sortCondition ref="A12:A17"/>
  </sortState>
  <tableColumns count="3">
    <tableColumn id="1" xr3:uid="{C909A761-FFEA-4C24-A956-EC931290C6EA}" name="Year" dataDxfId="105"/>
    <tableColumn id="2" xr3:uid="{017D9821-C3A0-4F5B-9F5A-E6F7656A2954}" name="Net Profit Margin (+5%)" dataDxfId="104" dataCellStyle="Percentuale"/>
    <tableColumn id="7" xr3:uid="{B4CFF67C-AB78-4CC2-9ECF-DC7AB83028CA}" name="ROE Simulated" dataDxfId="103" dataCellStyle="Percentuale">
      <calculatedColumnFormula>Tabella5[[#This Row],[Net Profit Margin (+5%)]]*M2*N2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FED744D-A40A-4112-BC26-37076D151512}" name="Tabella14" displayName="Tabella14" ref="A1:P6" totalsRowShown="0" headerRowDxfId="102">
  <autoFilter ref="A1:P6" xr:uid="{FFED744D-A40A-4112-BC26-37076D151512}"/>
  <tableColumns count="16">
    <tableColumn id="1" xr3:uid="{ABC6C6A8-9900-4BD5-93E0-B767FBAFF7B4}" name="Year"/>
    <tableColumn id="2" xr3:uid="{98DCF943-ED24-4DFD-8B04-CB14011872C3}" name="Current Assets" dataDxfId="101"/>
    <tableColumn id="3" xr3:uid="{4F974FA2-EB2D-4629-A79D-81E9B4250570}" name="Inventories" dataDxfId="100"/>
    <tableColumn id="4" xr3:uid="{44C8EADF-8CAB-4E2A-952D-FBF7EE125DB3}" name="Cash &amp; Equivalents" dataDxfId="99"/>
    <tableColumn id="5" xr3:uid="{66D083E5-8286-4C0C-A6DE-784F65309D30}" name="Current Liabilities" dataDxfId="98"/>
    <tableColumn id="6" xr3:uid="{04768D6F-5962-4AEB-8384-9722E02762C3}" name="EBIT" dataDxfId="97"/>
    <tableColumn id="7" xr3:uid="{47609E8D-29F1-4F1B-8698-3A7FBBC64C3E}" name="Interest Expense" dataDxfId="96"/>
    <tableColumn id="8" xr3:uid="{09345C5B-2E23-42B5-BBC1-9C5B53C92BFD}" name="Operating Cash Flow" dataDxfId="95"/>
    <tableColumn id="9" xr3:uid="{C3F92141-70FD-46CF-87CD-6563ACAA693F}" name="Short Term Debt" dataDxfId="94"/>
    <tableColumn id="10" xr3:uid="{FDB8D7DF-E7F6-48C4-90B6-927DFACF8633}" name="Long Term Debt" dataDxfId="93"/>
    <tableColumn id="11" xr3:uid="{072E6C3F-F975-4D1E-98BE-F3D4FD1B83D4}" name="Total Debt" dataDxfId="92">
      <calculatedColumnFormula>I2+J2</calculatedColumnFormula>
    </tableColumn>
    <tableColumn id="12" xr3:uid="{F157A691-5F53-4B22-BCB6-8E9EB4F71B48}" name="Current Ratio" dataDxfId="91">
      <calculatedColumnFormula>Tabella14[[#This Row],[Current Assets]]/Tabella14[[#This Row],[Current Liabilities]]</calculatedColumnFormula>
    </tableColumn>
    <tableColumn id="13" xr3:uid="{FCD43BB3-6989-4B0E-A214-A0A584B88029}" name="Quick Ratio" dataDxfId="90">
      <calculatedColumnFormula>(Tabella14[[#This Row],[Current Assets]]-Tabella14[[#This Row],[Inventories]])/Tabella14[[#This Row],[Current Liabilities]]</calculatedColumnFormula>
    </tableColumn>
    <tableColumn id="14" xr3:uid="{9BD566EB-C317-4636-A486-DA37ABC49008}" name="Cash Ratio" dataDxfId="89">
      <calculatedColumnFormula>Tabella14[[#This Row],[Cash &amp; Equivalents]]/Tabella14[[#This Row],[Current Liabilities]]</calculatedColumnFormula>
    </tableColumn>
    <tableColumn id="15" xr3:uid="{78844661-7040-41C4-BA38-B0A497E926AE}" name="Interest Coverage" dataDxfId="88" dataCellStyle="Percentuale">
      <calculatedColumnFormula>Tabella14[[#This Row],[EBIT]]/Tabella14[[#This Row],[Interest Expense]]</calculatedColumnFormula>
    </tableColumn>
    <tableColumn id="16" xr3:uid="{DF45ED4D-22CA-498C-B0A3-22392102FAB8}" name="Debt Coverage Ratio" dataDxfId="87">
      <calculatedColumnFormula>H2/K2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6641163-9485-4834-A534-ECA20E0CEC76}" name="Tabella17" displayName="Tabella17" ref="A1:K6" totalsRowShown="0" headerRowDxfId="86">
  <autoFilter ref="A1:K6" xr:uid="{16641163-9485-4834-A534-ECA20E0CEC76}"/>
  <tableColumns count="11">
    <tableColumn id="1" xr3:uid="{2060EA9C-49CB-48B2-B3D0-45CAE9254EC7}" name="Year"/>
    <tableColumn id="2" xr3:uid="{CCAB7537-A805-4191-8045-5E4DFDCD06D6}" name="Total Debt" dataDxfId="85"/>
    <tableColumn id="3" xr3:uid="{35055CFC-07AB-43CC-8D56-F1DC92672B1B}" name="Cash &amp; Equivalents" dataDxfId="84"/>
    <tableColumn id="4" xr3:uid="{0847DA15-C2A4-44A7-B586-0B2380258483}" name="Net Debt" dataDxfId="83">
      <calculatedColumnFormula>B2-C2</calculatedColumnFormula>
    </tableColumn>
    <tableColumn id="5" xr3:uid="{1ED22278-8965-4616-9E15-3FDB98BE7AAF}" name="EBITDA" dataDxfId="82"/>
    <tableColumn id="6" xr3:uid="{B5AFE6DD-3E2B-43A5-843C-9B39586D925A}" name="Total Assets" dataDxfId="81"/>
    <tableColumn id="7" xr3:uid="{A539F415-25D3-4104-B87C-35AEA5F6A214}" name="Total Equity"/>
    <tableColumn id="8" xr3:uid="{846147CA-574A-46DD-8812-6DD1197EFC4C}" name="Debt-to-Equity" dataDxfId="80">
      <calculatedColumnFormula>B2/G2</calculatedColumnFormula>
    </tableColumn>
    <tableColumn id="9" xr3:uid="{7B8C3056-037A-4552-846D-AF5B81B79D1F}" name="Net Debt-to-EBITDA" dataDxfId="79">
      <calculatedColumnFormula>D2/E2</calculatedColumnFormula>
    </tableColumn>
    <tableColumn id="10" xr3:uid="{FE26A913-63FA-4307-ACDE-D333DF09D519}" name="Debt-to-Assets" dataDxfId="78" dataCellStyle="Percentuale">
      <calculatedColumnFormula>B2/F2</calculatedColumnFormula>
    </tableColumn>
    <tableColumn id="11" xr3:uid="{416BFD65-9BDC-4A71-92D2-DB375771DCDB}" name="Equity Ratio" dataDxfId="77" dataCellStyle="Percentuale">
      <calculatedColumnFormula>G2/F2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D579EB-D4DF-4AEE-9A00-9590FBE71235}" name="Tabella9" displayName="Tabella9" ref="A1:H5" totalsRowShown="0" headerRowDxfId="76" headerRowBorderDxfId="75" tableBorderDxfId="74">
  <autoFilter ref="A1:H5" xr:uid="{0DD579EB-D4DF-4AEE-9A00-9590FBE71235}"/>
  <tableColumns count="8">
    <tableColumn id="1" xr3:uid="{EFDD3921-CFCD-42E3-BAB1-229A634A2F38}" name="Country"/>
    <tableColumn id="2" xr3:uid="{FE772FEE-92EB-4046-9E1F-07D72D2C6937}" name="Business Relevance"/>
    <tableColumn id="3" xr3:uid="{ED68AF16-8A18-4676-9127-11B3F08776C7}" name="Sovereign Rating"/>
    <tableColumn id="4" xr3:uid="{FE4401CB-9FB6-44EB-A278-4085BAA5874E}" name="CDS Spread (5Y, bps)"/>
    <tableColumn id="5" xr3:uid="{87AA824A-09EC-49CE-A2B1-31CAC54A2737}" name="Inflation Rate"/>
    <tableColumn id="6" xr3:uid="{D19E1C8B-8B60-4158-A50B-A17FA7D04730}" name="Country Risk Premium"/>
    <tableColumn id="7" xr3:uid="{6652F4A1-02F5-4777-A61B-A54C5F4B290D}" name="Political Stability"/>
    <tableColumn id="8" xr3:uid="{81B2E216-1B20-4DE2-8F7A-4140C576C308}" name="Main Risk for Cisc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0ADB9B-ACE9-499D-B06C-E22F374BFA90}" name="Tabella3" displayName="Tabella3" ref="A1:E25" totalsRowShown="0" headerRowDxfId="73">
  <autoFilter ref="A1:E25" xr:uid="{B40ADB9B-ACE9-499D-B06C-E22F374BFA90}"/>
  <tableColumns count="5">
    <tableColumn id="1" xr3:uid="{C7DA873F-88CD-48AB-89C7-593606B37324}" name="Date"/>
    <tableColumn id="2" xr3:uid="{A17B48AA-D25F-4E9E-BD67-66382D273E57}" name="Cisco Price"/>
    <tableColumn id="3" xr3:uid="{E0791BB3-C9DD-4DB4-AD35-EEE7FB54671C}" name="S&amp;P500 Price"/>
    <tableColumn id="4" xr3:uid="{88EE84D3-F5A5-481C-BEB0-9BC1529FA4FA}" name="Cisco Return" dataDxfId="72" dataCellStyle="Percentuale">
      <calculatedColumnFormula>(B2/B1)-1</calculatedColumnFormula>
    </tableColumn>
    <tableColumn id="5" xr3:uid="{D6E07460-4B3B-4C74-B171-15F9EB6A8CC3}" name="Market Return" dataDxfId="71" dataCellStyle="Percentuale">
      <calculatedColumnFormula>(C2/C1)-1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12B3756-8C7C-43AB-A073-9FB287E11B57}" name="Tabella8" displayName="Tabella8" ref="G1:J2" totalsRowShown="0" headerRowDxfId="70">
  <autoFilter ref="G1:J2" xr:uid="{012B3756-8C7C-43AB-A073-9FB287E11B57}"/>
  <tableColumns count="4">
    <tableColumn id="1" xr3:uid="{37E5521B-FCD0-4D76-902B-2E8C1B06EA10}" name="Risk Free Rate (US 10Y Treasury Yield)" dataDxfId="69"/>
    <tableColumn id="2" xr3:uid="{D674A9EE-8C31-4AB8-A268-D56FA3C3D106}" name="Market Risk Premium (Rm − Rf)" dataDxfId="68" dataCellStyle="Percentuale"/>
    <tableColumn id="3" xr3:uid="{FC6C85E5-4FD1-4B95-BE74-E914BF37816E}" name="Beta" dataDxfId="67">
      <calculatedColumnFormula>I6</calculatedColumnFormula>
    </tableColumn>
    <tableColumn id="4" xr3:uid="{E239D9EF-F535-42E6-AC12-AD145C94BC16}" name="Cost of Equity ke " dataDxfId="66">
      <calculatedColumnFormula>G2+(I2*H2)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18E1E5B-C721-4456-BB77-08642D62CF0D}" name="Tabella15" displayName="Tabella15" ref="A2:E74" headerRowCount="0" totalsRowShown="0" headerRowDxfId="65" dataDxfId="64">
  <tableColumns count="5">
    <tableColumn id="1" xr3:uid="{C7624405-D70C-49E5-95AB-7DD190E077BA}" name="Colonna1" headerRowDxfId="63" dataDxfId="62"/>
    <tableColumn id="2" xr3:uid="{883C4CCC-E3C1-4DEB-A1EB-DDECE512A944}" name="Colonna2" headerRowDxfId="61" dataDxfId="60"/>
    <tableColumn id="3" xr3:uid="{351D8278-4F55-406A-A8C9-C12B5482A321}" name="Colonna3" headerRowDxfId="59" dataDxfId="58"/>
    <tableColumn id="4" xr3:uid="{E9E2F325-91E9-4AF6-A051-F5B2A8E10B8D}" name="Colonna4" headerRowDxfId="57" dataDxfId="56"/>
    <tableColumn id="5" xr3:uid="{15878DA2-8A57-417F-8851-8D1F617BC597}" name="Colonna5" headerRowDxfId="55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700C001-C9C5-4D8B-866F-F6E8F23E7EB4}" name="Tabella16" displayName="Tabella16" ref="H2:L74" headerRowCount="0" totalsRowShown="0" headerRowDxfId="53" dataDxfId="52">
  <tableColumns count="5">
    <tableColumn id="1" xr3:uid="{3049CC97-62F0-42B5-8E64-CFB50E7C7B29}" name="Colonna1" headerRowDxfId="51" dataDxfId="50"/>
    <tableColumn id="2" xr3:uid="{1EE82AB9-29DD-43DE-B1EF-6547E3036C18}" name="Colonna2" headerRowDxfId="49" dataDxfId="48"/>
    <tableColumn id="3" xr3:uid="{06D5CCBD-82A8-44BB-A280-C873E76B4D69}" name="Colonna3" headerRowDxfId="47" dataDxfId="46"/>
    <tableColumn id="4" xr3:uid="{695932AE-32DB-4FEF-856F-F2A28CA21E43}" name="Colonna4" headerRowDxfId="45" dataDxfId="44"/>
    <tableColumn id="5" xr3:uid="{DDADF158-3486-4B13-9DB9-4F56C50AB0BD}" name="Colonna5" headerRowDxfId="43" dataDxfId="4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97D8C9-1BDD-4740-9235-43E8252DDFA1}" name="Tabella12" displayName="Tabella12" ref="A1:E45" headerRowCount="0" totalsRowShown="0" headerRowDxfId="41">
  <tableColumns count="5">
    <tableColumn id="1" xr3:uid="{8FC57079-BC50-446E-BC1E-0B192E8E8210}" name="Colonna1" headerRowDxfId="40" dataDxfId="39"/>
    <tableColumn id="2" xr3:uid="{97E8209D-FBA8-45ED-8DA9-13BC37080CE0}" name="Colonna2" headerRowDxfId="38" dataDxfId="37"/>
    <tableColumn id="3" xr3:uid="{5C60F0C0-0A0B-42F1-99AB-A2B9CE9FBCEE}" name="Colonna3" headerRowDxfId="36"/>
    <tableColumn id="4" xr3:uid="{94CFAD41-87A0-4E47-8CA6-B842949EB949}" name="Colonna4" headerRowDxfId="35"/>
    <tableColumn id="5" xr3:uid="{EAFC7DA7-B7BB-411C-B0C0-D81F0D4AAD92}" name="Colonna5" headerRowDxfId="3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352A16-F754-4CFE-BE4E-26EB05091178}" name="Tabella13" displayName="Tabella13" ref="H1:L45" headerRowCount="0" totalsRowShown="0" headerRowDxfId="33">
  <tableColumns count="5">
    <tableColumn id="1" xr3:uid="{0F522FE2-81B0-4BC2-9AB3-166C92F10838}" name="Colonna1" headerRowDxfId="32" dataDxfId="31"/>
    <tableColumn id="2" xr3:uid="{D1167BF4-68CA-4B3A-A5F0-E2E75F1B1B54}" name="Colonna2" headerRowDxfId="30" dataDxfId="29"/>
    <tableColumn id="3" xr3:uid="{12EED18D-C8B8-4831-A2C7-56E6A25DECE6}" name="Colonna3" headerRowDxfId="28"/>
    <tableColumn id="4" xr3:uid="{08A212FE-22C3-430F-8EBB-88DB4CCBC7C2}" name="Colonna4" headerRowDxfId="27"/>
    <tableColumn id="5" xr3:uid="{BBB9E994-22E0-435B-B69C-707C424CFC6E}" name="Colonna5" headerRowDxfId="2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019D1-C2F9-45B3-AB74-DCAF8C4587E0}" name="Tabella4" displayName="Tabella4" ref="A2:D52" headerRowCount="0" totalsRowShown="0" headerRowDxfId="25">
  <tableColumns count="4">
    <tableColumn id="1" xr3:uid="{9FB91C52-2AD4-4D3B-A3B7-DC8DA7D36BD0}" name="Colonna1" headerRowDxfId="24" dataDxfId="23"/>
    <tableColumn id="2" xr3:uid="{88AD8B5C-AD33-4C5B-9830-760BB47289A9}" name="Colonna2" headerRowDxfId="22" dataDxfId="21"/>
    <tableColumn id="3" xr3:uid="{C1DE8A49-5D16-4B3D-ADDD-713F7CF16ED1}" name="Colonna3" headerRowDxfId="20" dataDxfId="19"/>
    <tableColumn id="4" xr3:uid="{87F9352F-A24D-443E-855D-94F34BB2AB60}" name="Colonna4" headerRowDxfId="1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BB730A-09F7-405E-8376-8D2F9DD66731}" name="Tabella6" displayName="Tabella6" ref="G2:J52" headerRowCount="0" totalsRowShown="0" headerRowDxfId="17">
  <tableColumns count="4">
    <tableColumn id="1" xr3:uid="{9D4804D3-7C07-45D5-B656-FFC8DE710D06}" name="Colonna1" headerRowDxfId="16" dataDxfId="15"/>
    <tableColumn id="2" xr3:uid="{B1A172AE-FD2A-4EF9-8016-C976EC5A470A}" name="Colonna2" headerRowDxfId="14" dataDxfId="13"/>
    <tableColumn id="3" xr3:uid="{EF94BBED-4448-4DFC-B5CF-081309D104F3}" name="Colonna3" headerRowDxfId="12" dataDxfId="11"/>
    <tableColumn id="4" xr3:uid="{F082DCD7-9A16-4F79-9D08-B66D8211CEA2}" name="Colonna4" headerRowDxfId="1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F32B94B-F140-4ED3-92A1-5339B61C061D}" name="Tabella10" displayName="Tabella10" ref="M2:P52" headerRowCount="0" totalsRowShown="0" headerRowDxfId="9">
  <tableColumns count="4">
    <tableColumn id="1" xr3:uid="{9440CA1F-28E3-4BA4-8050-8F693C2BC9DD}" name="Colonna1" headerRowDxfId="8" dataDxfId="7"/>
    <tableColumn id="2" xr3:uid="{B46D69E6-B1D7-462E-9754-E41B8C744EB6}" name="Colonna2" headerRowDxfId="6" dataDxfId="5"/>
    <tableColumn id="3" xr3:uid="{7CB3A27A-016C-46FB-9C76-01AB750AFBC2}" name="Colonna3" headerRowDxfId="4" dataDxfId="3"/>
    <tableColumn id="4" xr3:uid="{77A971B2-C6CC-4991-AD95-1DEE47DEB0AF}" name="Colonna4" headerRowDxfId="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43D9D04-831F-42E6-AE86-AEBB00D5189F}" name="Tabella19" displayName="Tabella19" ref="A1:G1048576" totalsRowShown="0">
  <autoFilter ref="A1:G1048576" xr:uid="{643D9D04-831F-42E6-AE86-AEBB00D5189F}"/>
  <tableColumns count="7">
    <tableColumn id="1" xr3:uid="{01285E80-9853-482C-B5DE-384B99E0D0E2}" name="Data"/>
    <tableColumn id="2" xr3:uid="{6BE92CBA-CFD5-4061-A0D0-33EF1723F29D}" name="Ultimo"/>
    <tableColumn id="3" xr3:uid="{6A02C4B4-A110-4E4C-83F6-5905027F1C97}" name="Apertura"/>
    <tableColumn id="4" xr3:uid="{42FBFFDE-E376-4690-B9FA-9E1D1CE77824}" name="Massimo"/>
    <tableColumn id="5" xr3:uid="{9698EEC8-EC39-4776-AEFE-7932FAD3F19B}" name="Minimo"/>
    <tableColumn id="6" xr3:uid="{DF2B4264-A552-4694-96C8-BCBB2E03BD4B}" name="Vol."/>
    <tableColumn id="7" xr3:uid="{CF752C0C-09B5-42DF-9F7A-CDEE220C6519}" name="Var. %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3FB7470-DB13-48E9-8690-6B85ACAA57A5}" name="Tabella18" displayName="Tabella18" ref="A1:G25" totalsRowShown="0">
  <autoFilter ref="A1:G25" xr:uid="{53FB7470-DB13-48E9-8690-6B85ACAA57A5}"/>
  <tableColumns count="7">
    <tableColumn id="1" xr3:uid="{4EEF4025-BAD7-411D-95D2-E795C9D58018}" name="Data"/>
    <tableColumn id="2" xr3:uid="{2323E74B-E2FB-4475-9870-CB3EBB95B32D}" name="Ultimo"/>
    <tableColumn id="3" xr3:uid="{89658B7E-6653-46E5-A9F7-3C8224FECB2D}" name="Apertura"/>
    <tableColumn id="4" xr3:uid="{45B739BC-51EA-4A19-9EDF-B59A378DA65E}" name="Massimo"/>
    <tableColumn id="5" xr3:uid="{09FD54D0-E311-4B6B-90C4-59B8312E4BE7}" name="Minimo"/>
    <tableColumn id="6" xr3:uid="{769D316A-EAAA-49AB-BA3E-17BFF2399E7E}" name="Vol."/>
    <tableColumn id="7" xr3:uid="{F6D29E1A-3ECF-4A33-9DB9-46DDD32C2F2A}" name="Var. %" dataDxfId="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C272590-57D4-4BD1-874A-0EA829379867}" name="Tabella20" displayName="Tabella20" ref="A1:G25" totalsRowShown="0">
  <autoFilter ref="A1:G25" xr:uid="{0C272590-57D4-4BD1-874A-0EA829379867}"/>
  <tableColumns count="7">
    <tableColumn id="1" xr3:uid="{D7505471-AF0F-4605-B63E-88398134247A}" name="Data"/>
    <tableColumn id="2" xr3:uid="{976FBC05-9A39-4812-A585-F900E2C5671D}" name="Ultimo"/>
    <tableColumn id="3" xr3:uid="{DD60FB79-2841-44F7-B84E-C2E679B3627D}" name="Apertura"/>
    <tableColumn id="4" xr3:uid="{7687D067-1AF2-436A-B930-8D48B0A82606}" name="Massimo"/>
    <tableColumn id="5" xr3:uid="{8C5BD4D2-8AC5-4223-A363-BB14A9151313}" name="Minimo"/>
    <tableColumn id="6" xr3:uid="{E7C354CA-E1C7-428B-9A82-168ECE372177}" name="Vol."/>
    <tableColumn id="7" xr3:uid="{42324D17-003A-44C6-976A-1E8DD6737D7E}" name="Var.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8A5E-CF15-4083-A99C-D1B6A0D1EC80}">
  <dimension ref="A1:G11"/>
  <sheetViews>
    <sheetView workbookViewId="0">
      <selection activeCell="C15" sqref="C15"/>
    </sheetView>
  </sheetViews>
  <sheetFormatPr defaultRowHeight="15" x14ac:dyDescent="0.25"/>
  <cols>
    <col min="1" max="1" width="39.7109375" customWidth="1"/>
    <col min="2" max="2" width="14.140625" bestFit="1" customWidth="1"/>
    <col min="3" max="3" width="15.28515625" bestFit="1" customWidth="1"/>
  </cols>
  <sheetData>
    <row r="1" spans="1:7" ht="21" customHeight="1" x14ac:dyDescent="0.25">
      <c r="A1" s="167" t="s">
        <v>9</v>
      </c>
      <c r="B1" s="167" t="s">
        <v>10</v>
      </c>
      <c r="C1" s="167" t="s">
        <v>11</v>
      </c>
    </row>
    <row r="2" spans="1:7" x14ac:dyDescent="0.25">
      <c r="A2" s="168" t="s">
        <v>12</v>
      </c>
      <c r="B2" s="168" t="s">
        <v>13</v>
      </c>
      <c r="C2" s="169">
        <v>0.10100000000000001</v>
      </c>
    </row>
    <row r="3" spans="1:7" x14ac:dyDescent="0.25">
      <c r="A3" s="146" t="s">
        <v>14</v>
      </c>
      <c r="B3" s="146" t="s">
        <v>13</v>
      </c>
      <c r="C3" s="147">
        <v>9.5799999999999996E-2</v>
      </c>
    </row>
    <row r="4" spans="1:7" x14ac:dyDescent="0.25">
      <c r="A4" s="168" t="s">
        <v>15</v>
      </c>
      <c r="B4" s="168" t="s">
        <v>13</v>
      </c>
      <c r="C4" s="169">
        <v>4.9500000000000002E-2</v>
      </c>
    </row>
    <row r="5" spans="1:7" x14ac:dyDescent="0.25">
      <c r="A5" s="146" t="s">
        <v>16</v>
      </c>
      <c r="B5" s="146" t="s">
        <v>13</v>
      </c>
      <c r="C5" s="147">
        <v>2.52E-2</v>
      </c>
    </row>
    <row r="6" spans="1:7" x14ac:dyDescent="0.25">
      <c r="A6" s="168" t="s">
        <v>17</v>
      </c>
      <c r="B6" s="168" t="s">
        <v>13</v>
      </c>
      <c r="C6" s="169">
        <v>1.9099999999999999E-2</v>
      </c>
    </row>
    <row r="7" spans="1:7" ht="30" x14ac:dyDescent="0.25">
      <c r="A7" s="146" t="s">
        <v>18</v>
      </c>
      <c r="B7" s="146" t="s">
        <v>13</v>
      </c>
      <c r="C7" s="147">
        <v>1.7899999999999999E-2</v>
      </c>
    </row>
    <row r="8" spans="1:7" x14ac:dyDescent="0.25">
      <c r="A8" s="168" t="s">
        <v>19</v>
      </c>
      <c r="B8" s="168" t="s">
        <v>13</v>
      </c>
      <c r="C8" s="169">
        <v>1.66E-2</v>
      </c>
    </row>
    <row r="9" spans="1:7" x14ac:dyDescent="0.25">
      <c r="A9" s="146" t="s">
        <v>20</v>
      </c>
      <c r="B9" s="146" t="s">
        <v>13</v>
      </c>
      <c r="C9" s="147">
        <v>1.5100000000000001E-2</v>
      </c>
      <c r="G9" s="151"/>
    </row>
    <row r="10" spans="1:7" x14ac:dyDescent="0.25">
      <c r="A10" s="168" t="s">
        <v>21</v>
      </c>
      <c r="B10" s="168" t="s">
        <v>22</v>
      </c>
      <c r="C10" s="169">
        <v>1.47E-2</v>
      </c>
    </row>
    <row r="11" spans="1:7" x14ac:dyDescent="0.25">
      <c r="A11" s="146" t="s">
        <v>23</v>
      </c>
      <c r="B11" s="146" t="s">
        <v>13</v>
      </c>
      <c r="C11" s="147">
        <v>1.32E-2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L4" sqref="L4"/>
    </sheetView>
  </sheetViews>
  <sheetFormatPr defaultRowHeight="15" x14ac:dyDescent="0.25"/>
  <cols>
    <col min="2" max="2" width="11.28515625" customWidth="1"/>
    <col min="6" max="6" width="11.42578125" bestFit="1" customWidth="1"/>
    <col min="9" max="9" width="11.140625" bestFit="1" customWidth="1"/>
  </cols>
  <sheetData>
    <row r="1" spans="1:9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5</v>
      </c>
      <c r="H1" s="2" t="s">
        <v>6</v>
      </c>
      <c r="I1" s="2" t="s">
        <v>7</v>
      </c>
    </row>
    <row r="2" spans="1:9" x14ac:dyDescent="0.25">
      <c r="A2" s="2">
        <v>2021</v>
      </c>
      <c r="B2" s="3">
        <v>29161</v>
      </c>
      <c r="C2" s="3">
        <v>12951</v>
      </c>
      <c r="D2" s="3">
        <v>7706</v>
      </c>
      <c r="E2" s="3">
        <v>49818</v>
      </c>
      <c r="F2" s="4">
        <f>Tabella1[[#This Row],[Americas]]/Tabella1[[#This Row],[Total]]</f>
        <v>0.58535067646232286</v>
      </c>
      <c r="G2" s="4">
        <f>Tabella1[[#This Row],[EMEA]]/Tabella1[[#This Row],[Total]]</f>
        <v>0.25996627724918703</v>
      </c>
      <c r="H2" s="4">
        <f>Tabella1[[#This Row],[APJC]]/Tabella1[[#This Row],[Total]]</f>
        <v>0.15468304628849011</v>
      </c>
      <c r="I2" s="4"/>
    </row>
    <row r="3" spans="1:9" x14ac:dyDescent="0.25">
      <c r="A3" s="2">
        <v>2022</v>
      </c>
      <c r="B3" s="3">
        <v>29814</v>
      </c>
      <c r="C3" s="3">
        <v>13715</v>
      </c>
      <c r="D3" s="3">
        <v>8027</v>
      </c>
      <c r="E3" s="3">
        <v>51557</v>
      </c>
      <c r="F3" s="4">
        <f>Tabella1[[#This Row],[Americas]]/Tabella1[[#This Row],[Total]]</f>
        <v>0.57827259150066912</v>
      </c>
      <c r="G3" s="4">
        <f>Tabella1[[#This Row],[EMEA]]/Tabella1[[#This Row],[Total]]</f>
        <v>0.26601625385495664</v>
      </c>
      <c r="H3" s="4">
        <f>Tabella1[[#This Row],[APJC]]/Tabella1[[#This Row],[Total]]</f>
        <v>0.15569175863607271</v>
      </c>
      <c r="I3" s="4">
        <f>(Tabella1[[#This Row],[Total]]-E2)/E2</f>
        <v>3.490706170460476E-2</v>
      </c>
    </row>
    <row r="4" spans="1:9" x14ac:dyDescent="0.25">
      <c r="A4" s="2">
        <v>2023</v>
      </c>
      <c r="B4" s="3">
        <v>33447</v>
      </c>
      <c r="C4" s="3">
        <v>15135</v>
      </c>
      <c r="D4" s="3">
        <v>8417</v>
      </c>
      <c r="E4" s="3">
        <v>56998</v>
      </c>
      <c r="F4" s="4">
        <f>Tabella1[[#This Row],[Americas]]/Tabella1[[#This Row],[Total]]</f>
        <v>0.5868100635110004</v>
      </c>
      <c r="G4" s="4">
        <f>Tabella1[[#This Row],[EMEA]]/Tabella1[[#This Row],[Total]]</f>
        <v>0.2655356328292221</v>
      </c>
      <c r="H4" s="4">
        <f>Tabella1[[#This Row],[APJC]]/Tabella1[[#This Row],[Total]]</f>
        <v>0.14767184813502229</v>
      </c>
      <c r="I4" s="4">
        <f>(Tabella1[[#This Row],[Total]]-E3)/E3</f>
        <v>0.10553368116841554</v>
      </c>
    </row>
    <row r="5" spans="1:9" x14ac:dyDescent="0.25">
      <c r="A5" s="2">
        <v>2024</v>
      </c>
      <c r="B5" s="3">
        <v>31971</v>
      </c>
      <c r="C5" s="3">
        <v>14117</v>
      </c>
      <c r="D5" s="3">
        <v>7716</v>
      </c>
      <c r="E5" s="3">
        <v>53803</v>
      </c>
      <c r="F5" s="4">
        <f>Tabella1[[#This Row],[Americas]]/Tabella1[[#This Row],[Total]]</f>
        <v>0.59422337044402729</v>
      </c>
      <c r="G5" s="4">
        <f>Tabella1[[#This Row],[EMEA]]/Tabella1[[#This Row],[Total]]</f>
        <v>0.26238313848670147</v>
      </c>
      <c r="H5" s="4">
        <f>Tabella1[[#This Row],[APJC]]/Tabella1[[#This Row],[Total]]</f>
        <v>0.14341207739345391</v>
      </c>
      <c r="I5" s="4">
        <f>(Tabella1[[#This Row],[Total]]-E4)/E4</f>
        <v>-5.6054598406961649E-2</v>
      </c>
    </row>
    <row r="6" spans="1:9" x14ac:dyDescent="0.25">
      <c r="A6" s="2">
        <v>2025</v>
      </c>
      <c r="B6" s="3">
        <v>33656</v>
      </c>
      <c r="C6" s="3">
        <v>14824</v>
      </c>
      <c r="D6" s="3">
        <v>8174</v>
      </c>
      <c r="E6" s="3">
        <v>56654</v>
      </c>
      <c r="F6" s="4">
        <f>Tabella1[[#This Row],[Americas]]/Tabella1[[#This Row],[Total]]</f>
        <v>0.59406220213930172</v>
      </c>
      <c r="G6" s="4">
        <f>Tabella1[[#This Row],[EMEA]]/Tabella1[[#This Row],[Total]]</f>
        <v>0.26165848836798816</v>
      </c>
      <c r="H6" s="4">
        <f>Tabella1[[#This Row],[APJC]]/Tabella1[[#This Row],[Total]]</f>
        <v>0.14427930949271014</v>
      </c>
      <c r="I6" s="4">
        <f>(Tabella1[[#This Row],[Total]]-E5)/E5</f>
        <v>5.2989610244781889E-2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585E-5C3E-4A3D-A560-5BB89AB3E04E}">
  <dimension ref="A1:F17"/>
  <sheetViews>
    <sheetView workbookViewId="0">
      <selection activeCell="D12" sqref="D12"/>
    </sheetView>
  </sheetViews>
  <sheetFormatPr defaultRowHeight="15" x14ac:dyDescent="0.25"/>
  <cols>
    <col min="2" max="2" width="11" customWidth="1"/>
    <col min="3" max="4" width="14.85546875" customWidth="1"/>
    <col min="6" max="6" width="11" customWidth="1"/>
  </cols>
  <sheetData>
    <row r="1" spans="1:6" ht="34.5" customHeight="1" x14ac:dyDescent="0.25">
      <c r="A1" s="13" t="s">
        <v>0</v>
      </c>
      <c r="B1" s="13" t="s">
        <v>24</v>
      </c>
      <c r="C1" s="13" t="s">
        <v>141</v>
      </c>
      <c r="D1" s="13" t="s">
        <v>25</v>
      </c>
      <c r="E1" s="13" t="s">
        <v>26</v>
      </c>
      <c r="F1" s="13" t="s">
        <v>27</v>
      </c>
    </row>
    <row r="2" spans="1:6" x14ac:dyDescent="0.25">
      <c r="A2" s="29">
        <v>2021</v>
      </c>
      <c r="B2" s="30">
        <v>49818</v>
      </c>
      <c r="C2" s="19">
        <v>17924</v>
      </c>
      <c r="D2" s="30">
        <f>B2-C2</f>
        <v>31894</v>
      </c>
      <c r="E2" s="31">
        <f>Tabella11[[#This Row],[Cost Of Sales]]/Tabella11[[#This Row],[Revenue]]</f>
        <v>0.35978963426873822</v>
      </c>
      <c r="F2" s="32">
        <f>Tabella11[[#This Row],[Gross Margin]]/Tabella11[[#This Row],[Revenue]]</f>
        <v>0.64021036573126178</v>
      </c>
    </row>
    <row r="3" spans="1:6" x14ac:dyDescent="0.25">
      <c r="A3" s="33">
        <v>2022</v>
      </c>
      <c r="B3" s="34">
        <v>51557</v>
      </c>
      <c r="C3" s="19">
        <v>19309</v>
      </c>
      <c r="D3" s="34">
        <f t="shared" ref="D3:D6" si="0">B3-C3</f>
        <v>32248</v>
      </c>
      <c r="E3" s="35">
        <f>Tabella11[[#This Row],[Cost Of Sales]]/Tabella11[[#This Row],[Revenue]]</f>
        <v>0.37451752429350038</v>
      </c>
      <c r="F3" s="36">
        <f>Tabella11[[#This Row],[Gross Margin]]/Tabella11[[#This Row],[Revenue]]</f>
        <v>0.62548247570649962</v>
      </c>
    </row>
    <row r="4" spans="1:6" x14ac:dyDescent="0.25">
      <c r="A4" s="29">
        <v>2023</v>
      </c>
      <c r="B4" s="30">
        <v>56998</v>
      </c>
      <c r="C4" s="19">
        <v>21245</v>
      </c>
      <c r="D4" s="30">
        <f t="shared" si="0"/>
        <v>35753</v>
      </c>
      <c r="E4" s="31">
        <f>Tabella11[[#This Row],[Cost Of Sales]]/Tabella11[[#This Row],[Revenue]]</f>
        <v>0.37273237657461666</v>
      </c>
      <c r="F4" s="32">
        <f>Tabella11[[#This Row],[Gross Margin]]/Tabella11[[#This Row],[Revenue]]</f>
        <v>0.62726762342538334</v>
      </c>
    </row>
    <row r="5" spans="1:6" x14ac:dyDescent="0.25">
      <c r="A5" s="33">
        <v>2024</v>
      </c>
      <c r="B5" s="34">
        <v>53803</v>
      </c>
      <c r="C5" s="19">
        <v>18975</v>
      </c>
      <c r="D5" s="34">
        <f t="shared" si="0"/>
        <v>34828</v>
      </c>
      <c r="E5" s="35">
        <f>Tabella11[[#This Row],[Cost Of Sales]]/Tabella11[[#This Row],[Revenue]]</f>
        <v>0.35267550136609482</v>
      </c>
      <c r="F5" s="36">
        <f>Tabella11[[#This Row],[Gross Margin]]/Tabella11[[#This Row],[Revenue]]</f>
        <v>0.64732449863390518</v>
      </c>
    </row>
    <row r="6" spans="1:6" x14ac:dyDescent="0.25">
      <c r="A6" s="29">
        <v>2025</v>
      </c>
      <c r="B6" s="30">
        <v>56654</v>
      </c>
      <c r="C6" s="37">
        <v>19864</v>
      </c>
      <c r="D6" s="30">
        <f t="shared" si="0"/>
        <v>36790</v>
      </c>
      <c r="E6" s="31">
        <f>Tabella11[[#This Row],[Cost Of Sales]]/Tabella11[[#This Row],[Revenue]]</f>
        <v>0.35061955025240937</v>
      </c>
      <c r="F6" s="32">
        <f>Tabella11[[#This Row],[Gross Margin]]/Tabella11[[#This Row],[Revenue]]</f>
        <v>0.64938044974759068</v>
      </c>
    </row>
    <row r="9" spans="1:6" x14ac:dyDescent="0.25">
      <c r="A9" s="2"/>
      <c r="B9" s="3"/>
      <c r="C9" s="26"/>
      <c r="D9" s="3"/>
      <c r="E9" s="39"/>
      <c r="F9" s="39"/>
    </row>
    <row r="10" spans="1:6" x14ac:dyDescent="0.25">
      <c r="A10" s="2"/>
      <c r="B10" s="3"/>
      <c r="C10" s="26"/>
      <c r="D10" s="3"/>
      <c r="E10" s="39"/>
      <c r="F10" s="39"/>
    </row>
    <row r="11" spans="1:6" x14ac:dyDescent="0.25">
      <c r="A11" s="2"/>
      <c r="B11" s="3"/>
      <c r="C11" s="26"/>
      <c r="D11" s="3"/>
      <c r="E11" s="39"/>
      <c r="F11" s="39"/>
    </row>
    <row r="12" spans="1:6" x14ac:dyDescent="0.25">
      <c r="A12" s="2"/>
      <c r="B12" s="3"/>
      <c r="C12" s="26"/>
      <c r="D12" s="3"/>
      <c r="E12" s="39"/>
      <c r="F12" s="39"/>
    </row>
    <row r="13" spans="1:6" x14ac:dyDescent="0.25">
      <c r="A13" s="2"/>
      <c r="B13" s="3"/>
      <c r="C13" s="40"/>
      <c r="D13" s="3"/>
      <c r="E13" s="39"/>
      <c r="F13" s="39"/>
    </row>
    <row r="16" spans="1:6" x14ac:dyDescent="0.25">
      <c r="C16" s="26"/>
      <c r="D16" s="26"/>
      <c r="E16" s="26"/>
    </row>
    <row r="17" spans="4:4" x14ac:dyDescent="0.25">
      <c r="D17" s="12"/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C260-EC75-4457-95FC-525A5837B9AB}">
  <dimension ref="A1:Q17"/>
  <sheetViews>
    <sheetView workbookViewId="0">
      <selection activeCell="B31" sqref="B31"/>
    </sheetView>
  </sheetViews>
  <sheetFormatPr defaultRowHeight="15" x14ac:dyDescent="0.25"/>
  <cols>
    <col min="1" max="1" width="11.140625" customWidth="1"/>
    <col min="2" max="2" width="21.140625" bestFit="1" customWidth="1"/>
    <col min="3" max="3" width="15.85546875" bestFit="1" customWidth="1"/>
    <col min="4" max="4" width="10" customWidth="1"/>
    <col min="5" max="5" width="17" bestFit="1" customWidth="1"/>
    <col min="6" max="6" width="16.42578125" bestFit="1" customWidth="1"/>
    <col min="7" max="7" width="13.5703125" customWidth="1"/>
    <col min="8" max="8" width="9.42578125" customWidth="1"/>
    <col min="9" max="9" width="16.5703125" customWidth="1"/>
    <col min="10" max="10" width="13.7109375" bestFit="1" customWidth="1"/>
    <col min="11" max="12" width="7.140625" bestFit="1" customWidth="1"/>
    <col min="13" max="13" width="16.7109375" bestFit="1" customWidth="1"/>
    <col min="14" max="14" width="18.42578125" bestFit="1" customWidth="1"/>
    <col min="15" max="15" width="16.42578125" customWidth="1"/>
    <col min="16" max="16" width="18.140625" customWidth="1"/>
    <col min="17" max="17" width="16.28515625" customWidth="1"/>
  </cols>
  <sheetData>
    <row r="1" spans="1:17" ht="28.5" customHeight="1" x14ac:dyDescent="0.25">
      <c r="A1" s="1" t="s">
        <v>0</v>
      </c>
      <c r="B1" s="1" t="s">
        <v>24</v>
      </c>
      <c r="C1" s="1" t="s">
        <v>28</v>
      </c>
      <c r="D1" s="1" t="s">
        <v>29</v>
      </c>
      <c r="E1" s="1" t="s">
        <v>34</v>
      </c>
      <c r="F1" s="1" t="s">
        <v>36</v>
      </c>
      <c r="G1" s="1" t="s">
        <v>37</v>
      </c>
      <c r="H1" s="6" t="s">
        <v>35</v>
      </c>
      <c r="I1" s="6" t="s">
        <v>39</v>
      </c>
      <c r="J1" s="6" t="s">
        <v>30</v>
      </c>
      <c r="K1" s="6" t="s">
        <v>38</v>
      </c>
      <c r="L1" s="6" t="s">
        <v>31</v>
      </c>
      <c r="M1" s="6" t="s">
        <v>32</v>
      </c>
      <c r="N1" s="6" t="s">
        <v>33</v>
      </c>
      <c r="O1" s="6" t="s">
        <v>40</v>
      </c>
      <c r="P1" s="2"/>
      <c r="Q1" s="12"/>
    </row>
    <row r="2" spans="1:17" x14ac:dyDescent="0.25">
      <c r="A2" s="2">
        <v>2020</v>
      </c>
      <c r="F2" s="9">
        <v>94853</v>
      </c>
      <c r="G2" s="11">
        <v>37920</v>
      </c>
      <c r="I2" s="7"/>
      <c r="J2" s="7"/>
      <c r="K2" s="7"/>
      <c r="L2" s="7"/>
      <c r="M2" s="7"/>
      <c r="N2" s="7"/>
      <c r="P2" s="2"/>
      <c r="Q2" s="4"/>
    </row>
    <row r="3" spans="1:17" x14ac:dyDescent="0.25">
      <c r="A3" s="2">
        <v>2021</v>
      </c>
      <c r="B3" s="3">
        <v>49818</v>
      </c>
      <c r="C3" s="3">
        <v>10591</v>
      </c>
      <c r="D3" s="3">
        <v>12833</v>
      </c>
      <c r="E3" s="3">
        <v>1862</v>
      </c>
      <c r="F3" s="8">
        <v>97497</v>
      </c>
      <c r="G3" s="10">
        <v>41275</v>
      </c>
      <c r="H3" s="3">
        <f>D3+E3</f>
        <v>14695</v>
      </c>
      <c r="I3" s="5">
        <f>C3/B3</f>
        <v>0.21259384158336345</v>
      </c>
      <c r="J3" s="5">
        <f>D3/B3</f>
        <v>0.25759765546589586</v>
      </c>
      <c r="K3" s="5">
        <f>C3/Tabella2[[#This Row],[Total Assets]]</f>
        <v>0.1086289834559012</v>
      </c>
      <c r="L3" s="5">
        <f>C3/Tabella2[[#This Row],[Total Equity]]</f>
        <v>0.25659600242277408</v>
      </c>
      <c r="M3" s="5">
        <f>Tabella2[[#This Row],[Revenue]]/Tabella2[[#This Row],[Total Assets]]</f>
        <v>0.51096956829440909</v>
      </c>
      <c r="N3" s="7">
        <f>Tabella2[[#This Row],[Total Assets]]/Tabella2[[#This Row],[Total Equity]]</f>
        <v>2.3621320411871594</v>
      </c>
      <c r="O3" s="5">
        <f>I3*M3*N3</f>
        <v>0.25659600242277408</v>
      </c>
    </row>
    <row r="4" spans="1:17" x14ac:dyDescent="0.25">
      <c r="A4" s="2">
        <v>2022</v>
      </c>
      <c r="B4" s="3">
        <v>51557</v>
      </c>
      <c r="C4" s="3">
        <v>11812</v>
      </c>
      <c r="D4" s="3">
        <v>13969</v>
      </c>
      <c r="E4" s="3">
        <v>1957</v>
      </c>
      <c r="F4" s="8">
        <v>94002</v>
      </c>
      <c r="G4" s="10">
        <v>39773</v>
      </c>
      <c r="H4" s="3">
        <f>D4+E4</f>
        <v>15926</v>
      </c>
      <c r="I4" s="5">
        <f>C4/B4</f>
        <v>0.22910565005721822</v>
      </c>
      <c r="J4" s="5">
        <f>D4/B4</f>
        <v>0.27094283996353552</v>
      </c>
      <c r="K4" s="5">
        <f>C4/Tabella2[[#This Row],[Total Assets]]</f>
        <v>0.12565690091700177</v>
      </c>
      <c r="L4" s="5">
        <f>C4/Tabella2[[#This Row],[Total Equity]]</f>
        <v>0.29698539210016844</v>
      </c>
      <c r="M4" s="5">
        <f>Tabella2[[#This Row],[Revenue]]/Tabella2[[#This Row],[Total Assets]]</f>
        <v>0.54846705389247041</v>
      </c>
      <c r="N4" s="7">
        <f>Tabella2[[#This Row],[Total Assets]]/Tabella2[[#This Row],[Total Equity]]</f>
        <v>2.363462650541825</v>
      </c>
      <c r="O4" s="5">
        <f>I4*M4*N4</f>
        <v>0.2969853921001685</v>
      </c>
    </row>
    <row r="5" spans="1:17" x14ac:dyDescent="0.25">
      <c r="A5" s="2">
        <v>2023</v>
      </c>
      <c r="B5" s="3">
        <v>56998</v>
      </c>
      <c r="C5" s="3">
        <v>12613</v>
      </c>
      <c r="D5" s="3">
        <v>15031</v>
      </c>
      <c r="E5" s="3">
        <v>1726</v>
      </c>
      <c r="F5" s="8">
        <v>101852</v>
      </c>
      <c r="G5" s="15">
        <v>44353</v>
      </c>
      <c r="H5" s="3">
        <f>D5+E5</f>
        <v>16757</v>
      </c>
      <c r="I5" s="5">
        <f>C5/B5</f>
        <v>0.2212884662619741</v>
      </c>
      <c r="J5" s="5">
        <f>D5/B5</f>
        <v>0.26371100740376857</v>
      </c>
      <c r="K5" s="5">
        <f>C5/Tabella2[[#This Row],[Total Assets]]</f>
        <v>0.12383654714684052</v>
      </c>
      <c r="L5" s="5">
        <f>C5/Tabella2[[#This Row],[Total Equity]]</f>
        <v>0.28437760692625075</v>
      </c>
      <c r="M5" s="5">
        <f>Tabella2[[#This Row],[Revenue]]/Tabella2[[#This Row],[Total Assets]]</f>
        <v>0.55961591328594429</v>
      </c>
      <c r="N5" s="7">
        <f>Tabella2[[#This Row],[Total Assets]]/Tabella2[[#This Row],[Total Equity]]</f>
        <v>2.2963948323675965</v>
      </c>
      <c r="O5" s="5">
        <f>I5*M5*N5</f>
        <v>0.28437760692625075</v>
      </c>
    </row>
    <row r="6" spans="1:17" x14ac:dyDescent="0.25">
      <c r="A6" s="2">
        <v>2024</v>
      </c>
      <c r="B6" s="3">
        <v>53803</v>
      </c>
      <c r="C6" s="3">
        <v>10320</v>
      </c>
      <c r="D6" s="3">
        <v>12181</v>
      </c>
      <c r="E6" s="3">
        <v>2507</v>
      </c>
      <c r="F6" s="8">
        <v>124413</v>
      </c>
      <c r="G6" s="10">
        <v>45457</v>
      </c>
      <c r="H6" s="3">
        <f>D6+E6</f>
        <v>14688</v>
      </c>
      <c r="I6" s="5">
        <f>C6/B6</f>
        <v>0.1918108655651172</v>
      </c>
      <c r="J6" s="5">
        <f>D6/B6</f>
        <v>0.22640001486905934</v>
      </c>
      <c r="K6" s="5">
        <f>C6/Tabella2[[#This Row],[Total Assets]]</f>
        <v>8.2949530997564566E-2</v>
      </c>
      <c r="L6" s="5">
        <f>C6/Tabella2[[#This Row],[Total Equity]]</f>
        <v>0.22702774050201288</v>
      </c>
      <c r="M6" s="5">
        <f>Tabella2[[#This Row],[Revenue]]/Tabella2[[#This Row],[Total Assets]]</f>
        <v>0.43245480777732231</v>
      </c>
      <c r="N6" s="7">
        <f>Tabella2[[#This Row],[Total Assets]]/Tabella2[[#This Row],[Total Equity]]</f>
        <v>2.7369382053369118</v>
      </c>
      <c r="O6" s="5">
        <f>I6*M6*N6</f>
        <v>0.22702774050201291</v>
      </c>
    </row>
    <row r="7" spans="1:17" x14ac:dyDescent="0.25">
      <c r="A7" s="2">
        <v>2025</v>
      </c>
      <c r="B7" s="3">
        <v>56654</v>
      </c>
      <c r="C7" s="3">
        <v>10180</v>
      </c>
      <c r="D7" s="3">
        <v>11760</v>
      </c>
      <c r="E7" s="3">
        <v>2811</v>
      </c>
      <c r="F7" s="8">
        <v>122291</v>
      </c>
      <c r="G7" s="10">
        <v>46843</v>
      </c>
      <c r="H7" s="3">
        <f>D7+E7</f>
        <v>14571</v>
      </c>
      <c r="I7" s="5">
        <f>C7/B7</f>
        <v>0.17968722420305716</v>
      </c>
      <c r="J7" s="5">
        <f>D7/B7</f>
        <v>0.20757581106364953</v>
      </c>
      <c r="K7" s="5">
        <f>C7/Tabella2[[#This Row],[Total Assets]]</f>
        <v>8.3244065385024241E-2</v>
      </c>
      <c r="L7" s="5">
        <f>C7/Tabella2[[#This Row],[Total Equity]]</f>
        <v>0.21732169160813783</v>
      </c>
      <c r="M7" s="5">
        <f>Tabella2[[#This Row],[Revenue]]/Tabella2[[#This Row],[Total Assets]]</f>
        <v>0.4632720314659296</v>
      </c>
      <c r="N7" s="7">
        <f>Tabella2[[#This Row],[Total Assets]]/Tabella2[[#This Row],[Total Equity]]</f>
        <v>2.6106568750933969</v>
      </c>
      <c r="O7" s="5">
        <f>I7*M7*N7</f>
        <v>0.2173216916081378</v>
      </c>
    </row>
    <row r="8" spans="1:17" x14ac:dyDescent="0.25">
      <c r="A8" s="1"/>
      <c r="B8" s="1"/>
      <c r="C8" s="1"/>
      <c r="D8" s="1"/>
      <c r="E8" s="1"/>
      <c r="F8" s="1"/>
      <c r="G8" s="1"/>
      <c r="H8" s="1"/>
    </row>
    <row r="10" spans="1:17" x14ac:dyDescent="0.25">
      <c r="A10" s="2"/>
      <c r="B10" s="3"/>
    </row>
    <row r="11" spans="1:17" ht="31.5" customHeight="1" x14ac:dyDescent="0.25">
      <c r="A11" s="14" t="s">
        <v>0</v>
      </c>
      <c r="B11" s="1" t="s">
        <v>3772</v>
      </c>
      <c r="C11" s="13" t="s">
        <v>41</v>
      </c>
    </row>
    <row r="12" spans="1:17" x14ac:dyDescent="0.25">
      <c r="A12" s="2">
        <v>2020</v>
      </c>
      <c r="C12" s="4"/>
    </row>
    <row r="13" spans="1:17" x14ac:dyDescent="0.25">
      <c r="A13" s="2">
        <v>2021</v>
      </c>
      <c r="B13" s="4">
        <f>I3*(1+0.05)</f>
        <v>0.22322353366253161</v>
      </c>
      <c r="C13" s="4">
        <f>Tabella5[[#This Row],[Net Profit Margin (+5%)]]*M3*N3</f>
        <v>0.2694258025439128</v>
      </c>
    </row>
    <row r="14" spans="1:17" x14ac:dyDescent="0.25">
      <c r="A14" s="2">
        <v>2022</v>
      </c>
      <c r="B14" s="4">
        <f t="shared" ref="B14:B17" si="0">I4*(1+0.05)</f>
        <v>0.24056093256007915</v>
      </c>
      <c r="C14" s="4">
        <f>Tabella5[[#This Row],[Net Profit Margin (+5%)]]*M4*N4</f>
        <v>0.31183466170517699</v>
      </c>
    </row>
    <row r="15" spans="1:17" x14ac:dyDescent="0.25">
      <c r="A15" s="2">
        <v>2023</v>
      </c>
      <c r="B15" s="4">
        <f t="shared" si="0"/>
        <v>0.2323528895750728</v>
      </c>
      <c r="C15" s="4">
        <f>Tabella5[[#This Row],[Net Profit Margin (+5%)]]*M5*N5</f>
        <v>0.29859648727256327</v>
      </c>
    </row>
    <row r="16" spans="1:17" x14ac:dyDescent="0.25">
      <c r="A16" s="2">
        <v>2024</v>
      </c>
      <c r="B16" s="4">
        <f t="shared" si="0"/>
        <v>0.20140140884337307</v>
      </c>
      <c r="C16" s="4">
        <f>Tabella5[[#This Row],[Net Profit Margin (+5%)]]*M6*N6</f>
        <v>0.23837912752711357</v>
      </c>
    </row>
    <row r="17" spans="1:3" x14ac:dyDescent="0.25">
      <c r="A17" s="2">
        <v>2025</v>
      </c>
      <c r="B17" s="4">
        <f t="shared" si="0"/>
        <v>0.18867158541321002</v>
      </c>
      <c r="C17" s="4">
        <f>Tabella5[[#This Row],[Net Profit Margin (+5%)]]*M7*N7</f>
        <v>0.22818777618854472</v>
      </c>
    </row>
  </sheetData>
  <sortState xmlns:xlrd2="http://schemas.microsoft.com/office/spreadsheetml/2017/richdata2" ref="A2:H6">
    <sortCondition descending="1" ref="A2:A6"/>
  </sortState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7612-39BA-483A-A089-E609AD352A0D}">
  <dimension ref="A1:R18"/>
  <sheetViews>
    <sheetView workbookViewId="0">
      <selection activeCell="E7" sqref="E7"/>
    </sheetView>
  </sheetViews>
  <sheetFormatPr defaultRowHeight="15" x14ac:dyDescent="0.25"/>
  <cols>
    <col min="1" max="1" width="9.5703125" bestFit="1" customWidth="1"/>
    <col min="2" max="2" width="18.5703125" bestFit="1" customWidth="1"/>
    <col min="3" max="3" width="15.7109375" bestFit="1" customWidth="1"/>
    <col min="4" max="4" width="22.7109375" bestFit="1" customWidth="1"/>
    <col min="5" max="5" width="21.42578125" bestFit="1" customWidth="1"/>
    <col min="6" max="6" width="9.28515625" bestFit="1" customWidth="1"/>
    <col min="7" max="7" width="20.5703125" bestFit="1" customWidth="1"/>
    <col min="8" max="8" width="24" bestFit="1" customWidth="1"/>
    <col min="9" max="9" width="20.140625" bestFit="1" customWidth="1"/>
    <col min="10" max="10" width="19.5703125" bestFit="1" customWidth="1"/>
    <col min="11" max="11" width="14.7109375" bestFit="1" customWidth="1"/>
    <col min="12" max="12" width="17.28515625" bestFit="1" customWidth="1"/>
    <col min="13" max="13" width="15.5703125" bestFit="1" customWidth="1"/>
    <col min="14" max="14" width="14.7109375" bestFit="1" customWidth="1"/>
    <col min="15" max="15" width="21.42578125" bestFit="1" customWidth="1"/>
    <col min="16" max="16" width="23.85546875" bestFit="1" customWidth="1"/>
  </cols>
  <sheetData>
    <row r="1" spans="1:18" ht="25.5" customHeight="1" x14ac:dyDescent="0.25">
      <c r="A1" s="1" t="s">
        <v>0</v>
      </c>
      <c r="B1" s="1" t="s">
        <v>142</v>
      </c>
      <c r="C1" s="1" t="s">
        <v>56</v>
      </c>
      <c r="D1" s="1" t="s">
        <v>143</v>
      </c>
      <c r="E1" s="1" t="s">
        <v>144</v>
      </c>
      <c r="F1" s="1" t="s">
        <v>29</v>
      </c>
      <c r="G1" s="1" t="s">
        <v>145</v>
      </c>
      <c r="H1" s="1" t="s">
        <v>146</v>
      </c>
      <c r="I1" s="1" t="s">
        <v>208</v>
      </c>
      <c r="J1" s="1" t="s">
        <v>209</v>
      </c>
      <c r="K1" s="1" t="s">
        <v>210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3771</v>
      </c>
    </row>
    <row r="2" spans="1:18" x14ac:dyDescent="0.25">
      <c r="A2">
        <v>2021</v>
      </c>
      <c r="B2" s="3">
        <v>39112</v>
      </c>
      <c r="C2" s="3">
        <v>1559</v>
      </c>
      <c r="D2" s="3">
        <v>9175</v>
      </c>
      <c r="E2" s="3">
        <v>26257</v>
      </c>
      <c r="F2" s="3">
        <v>12833</v>
      </c>
      <c r="G2" s="3">
        <v>434</v>
      </c>
      <c r="H2" s="3">
        <v>15454</v>
      </c>
      <c r="I2" s="3">
        <v>2508</v>
      </c>
      <c r="J2" s="3">
        <v>9018</v>
      </c>
      <c r="K2" s="28">
        <f>I2+J2</f>
        <v>11526</v>
      </c>
      <c r="L2" s="42">
        <f>Tabella14[[#This Row],[Current Assets]]/Tabella14[[#This Row],[Current Liabilities]]</f>
        <v>1.4895837300529382</v>
      </c>
      <c r="M2" s="42">
        <f>(Tabella14[[#This Row],[Current Assets]]-Tabella14[[#This Row],[Inventories]])/Tabella14[[#This Row],[Current Liabilities]]</f>
        <v>1.4302090871005828</v>
      </c>
      <c r="N2" s="42">
        <f>Tabella14[[#This Row],[Cash &amp; Equivalents]]/Tabella14[[#This Row],[Current Liabilities]]</f>
        <v>0.3494306280230034</v>
      </c>
      <c r="O2" s="238">
        <f>Tabella14[[#This Row],[EBIT]]/Tabella14[[#This Row],[Interest Expense]]</f>
        <v>29.569124423963135</v>
      </c>
      <c r="P2" s="42">
        <f>H2/K2</f>
        <v>1.3407947249696339</v>
      </c>
    </row>
    <row r="3" spans="1:18" x14ac:dyDescent="0.25">
      <c r="A3">
        <v>2022</v>
      </c>
      <c r="B3" s="3">
        <v>36717</v>
      </c>
      <c r="C3" s="3">
        <v>2568</v>
      </c>
      <c r="D3" s="3">
        <v>7079</v>
      </c>
      <c r="E3" s="3">
        <v>25640</v>
      </c>
      <c r="F3" s="3">
        <v>13969</v>
      </c>
      <c r="G3" s="3">
        <v>360</v>
      </c>
      <c r="H3" s="3">
        <v>13226</v>
      </c>
      <c r="I3" s="3">
        <v>1099</v>
      </c>
      <c r="J3" s="3">
        <v>8416</v>
      </c>
      <c r="K3" s="28">
        <f t="shared" ref="K3:K6" si="0">I3+J3</f>
        <v>9515</v>
      </c>
      <c r="L3" s="42">
        <f>Tabella14[[#This Row],[Current Assets]]/Tabella14[[#This Row],[Current Liabilities]]</f>
        <v>1.4320202808112326</v>
      </c>
      <c r="M3" s="42">
        <f>(Tabella14[[#This Row],[Current Assets]]-Tabella14[[#This Row],[Inventories]])/Tabella14[[#This Row],[Current Liabilities]]</f>
        <v>1.3318642745709828</v>
      </c>
      <c r="N3" s="42">
        <f>Tabella14[[#This Row],[Cash &amp; Equivalents]]/Tabella14[[#This Row],[Current Liabilities]]</f>
        <v>0.27609204368174728</v>
      </c>
      <c r="O3" s="238">
        <f>Tabella14[[#This Row],[EBIT]]/Tabella14[[#This Row],[Interest Expense]]</f>
        <v>38.802777777777777</v>
      </c>
      <c r="P3" s="42">
        <f t="shared" ref="P3:P6" si="1">H3/K3</f>
        <v>1.3900157645822386</v>
      </c>
    </row>
    <row r="4" spans="1:18" x14ac:dyDescent="0.25">
      <c r="A4">
        <v>2023</v>
      </c>
      <c r="B4" s="3">
        <v>43348</v>
      </c>
      <c r="C4" s="3">
        <v>3644</v>
      </c>
      <c r="D4" s="3">
        <v>10123</v>
      </c>
      <c r="E4" s="3">
        <v>31309</v>
      </c>
      <c r="F4" s="3">
        <v>15031</v>
      </c>
      <c r="G4" s="3">
        <v>427</v>
      </c>
      <c r="H4" s="3">
        <v>19886</v>
      </c>
      <c r="I4" s="3">
        <v>1733</v>
      </c>
      <c r="J4" s="3">
        <v>6658</v>
      </c>
      <c r="K4" s="28">
        <f t="shared" si="0"/>
        <v>8391</v>
      </c>
      <c r="L4" s="42">
        <f>Tabella14[[#This Row],[Current Assets]]/Tabella14[[#This Row],[Current Liabilities]]</f>
        <v>1.3845220224216679</v>
      </c>
      <c r="M4" s="42">
        <f>(Tabella14[[#This Row],[Current Assets]]-Tabella14[[#This Row],[Inventories]])/Tabella14[[#This Row],[Current Liabilities]]</f>
        <v>1.2681337634545977</v>
      </c>
      <c r="N4" s="42">
        <f>Tabella14[[#This Row],[Cash &amp; Equivalents]]/Tabella14[[#This Row],[Current Liabilities]]</f>
        <v>0.32332556134018975</v>
      </c>
      <c r="O4" s="238">
        <f>Tabella14[[#This Row],[EBIT]]/Tabella14[[#This Row],[Interest Expense]]</f>
        <v>35.201405152224822</v>
      </c>
      <c r="P4" s="42">
        <f t="shared" si="1"/>
        <v>2.3699201525443927</v>
      </c>
    </row>
    <row r="5" spans="1:18" x14ac:dyDescent="0.25">
      <c r="A5">
        <v>2024</v>
      </c>
      <c r="B5" s="3">
        <v>36862</v>
      </c>
      <c r="C5" s="3">
        <v>3373</v>
      </c>
      <c r="D5" s="3">
        <v>7508</v>
      </c>
      <c r="E5" s="3">
        <v>40584</v>
      </c>
      <c r="F5" s="3">
        <v>12181</v>
      </c>
      <c r="G5" s="3">
        <v>1006</v>
      </c>
      <c r="H5" s="3">
        <v>10880</v>
      </c>
      <c r="I5" s="3">
        <v>11341</v>
      </c>
      <c r="J5" s="3">
        <v>19621</v>
      </c>
      <c r="K5" s="28">
        <f t="shared" si="0"/>
        <v>30962</v>
      </c>
      <c r="L5" s="42">
        <f>Tabella14[[#This Row],[Current Assets]]/Tabella14[[#This Row],[Current Liabilities]]</f>
        <v>0.90828898087916421</v>
      </c>
      <c r="M5" s="42">
        <f>(Tabella14[[#This Row],[Current Assets]]-Tabella14[[#This Row],[Inventories]])/Tabella14[[#This Row],[Current Liabilities]]</f>
        <v>0.82517740981667653</v>
      </c>
      <c r="N5" s="42">
        <f>Tabella14[[#This Row],[Cash &amp; Equivalents]]/Tabella14[[#This Row],[Current Liabilities]]</f>
        <v>0.18499901438990735</v>
      </c>
      <c r="O5" s="238">
        <f>Tabella14[[#This Row],[EBIT]]/Tabella14[[#This Row],[Interest Expense]]</f>
        <v>12.108349900596421</v>
      </c>
      <c r="P5" s="42">
        <f t="shared" si="1"/>
        <v>0.35139848846973709</v>
      </c>
    </row>
    <row r="6" spans="1:18" x14ac:dyDescent="0.25">
      <c r="A6">
        <v>2025</v>
      </c>
      <c r="B6" s="3">
        <v>34986</v>
      </c>
      <c r="C6" s="3">
        <v>3164</v>
      </c>
      <c r="D6" s="3">
        <v>8346</v>
      </c>
      <c r="E6" s="3">
        <v>35064</v>
      </c>
      <c r="F6" s="3">
        <v>11760</v>
      </c>
      <c r="G6" s="3">
        <v>1593</v>
      </c>
      <c r="H6" s="3">
        <v>14193</v>
      </c>
      <c r="I6" s="3">
        <v>5232</v>
      </c>
      <c r="J6" s="3">
        <v>22861</v>
      </c>
      <c r="K6" s="28">
        <f t="shared" si="0"/>
        <v>28093</v>
      </c>
      <c r="L6" s="42">
        <f>Tabella14[[#This Row],[Current Assets]]/Tabella14[[#This Row],[Current Liabilities]]</f>
        <v>0.99777549623545514</v>
      </c>
      <c r="M6" s="42">
        <f>(Tabella14[[#This Row],[Current Assets]]-Tabella14[[#This Row],[Inventories]])/Tabella14[[#This Row],[Current Liabilities]]</f>
        <v>0.90754049737622633</v>
      </c>
      <c r="N6" s="42">
        <f>Tabella14[[#This Row],[Cash &amp; Equivalents]]/Tabella14[[#This Row],[Current Liabilities]]</f>
        <v>0.23802190280629706</v>
      </c>
      <c r="O6" s="238">
        <f>Tabella14[[#This Row],[EBIT]]/Tabella14[[#This Row],[Interest Expense]]</f>
        <v>7.382297551789077</v>
      </c>
      <c r="P6" s="42">
        <f t="shared" si="1"/>
        <v>0.50521482219770053</v>
      </c>
    </row>
    <row r="10" spans="1:18" x14ac:dyDescent="0.25">
      <c r="A10" s="1"/>
      <c r="B10" s="1"/>
    </row>
    <row r="11" spans="1:18" x14ac:dyDescent="0.25">
      <c r="A11" s="2"/>
      <c r="B11" s="3"/>
    </row>
    <row r="12" spans="1:18" x14ac:dyDescent="0.25">
      <c r="A12" s="2"/>
      <c r="B12" s="3"/>
      <c r="C12" s="1"/>
      <c r="D12" s="1"/>
      <c r="E12" s="17"/>
      <c r="F12" s="17"/>
      <c r="G12" s="1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2"/>
      <c r="B13" s="1"/>
      <c r="C13" s="1"/>
      <c r="D13" s="3"/>
      <c r="E13" s="17"/>
      <c r="F13" s="18"/>
      <c r="G13" s="18"/>
    </row>
    <row r="14" spans="1:18" x14ac:dyDescent="0.25">
      <c r="A14" s="2"/>
      <c r="B14" s="2"/>
      <c r="C14" s="3"/>
      <c r="D14" s="3"/>
      <c r="E14" s="17"/>
      <c r="F14" s="19"/>
      <c r="G14" s="19"/>
    </row>
    <row r="15" spans="1:18" x14ac:dyDescent="0.25">
      <c r="A15" s="2"/>
      <c r="B15" s="2"/>
      <c r="C15" s="3"/>
      <c r="D15" s="3"/>
    </row>
    <row r="16" spans="1:18" x14ac:dyDescent="0.25">
      <c r="B16" s="2"/>
      <c r="C16" s="3"/>
      <c r="D16" s="3"/>
    </row>
    <row r="17" spans="2:4" x14ac:dyDescent="0.25">
      <c r="B17" s="2"/>
      <c r="C17" s="3"/>
      <c r="D17" s="3"/>
    </row>
    <row r="18" spans="2:4" x14ac:dyDescent="0.25">
      <c r="B18" s="2"/>
      <c r="C18" s="3"/>
      <c r="D18" s="3"/>
    </row>
  </sheetData>
  <sortState xmlns:xlrd2="http://schemas.microsoft.com/office/spreadsheetml/2017/richdata2" ref="B14:C18">
    <sortCondition ref="B14:B18"/>
  </sortState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E164-F291-42C4-84EE-F0DD8C715C7A}">
  <dimension ref="A1:K6"/>
  <sheetViews>
    <sheetView workbookViewId="0">
      <selection activeCell="L13" sqref="L13"/>
    </sheetView>
  </sheetViews>
  <sheetFormatPr defaultRowHeight="15" x14ac:dyDescent="0.25"/>
  <cols>
    <col min="1" max="1" width="9.5703125" bestFit="1" customWidth="1"/>
    <col min="2" max="2" width="14.7109375" bestFit="1" customWidth="1"/>
    <col min="3" max="3" width="22.7109375" bestFit="1" customWidth="1"/>
    <col min="4" max="4" width="13.5703125" bestFit="1" customWidth="1"/>
    <col min="5" max="5" width="11.85546875" bestFit="1" customWidth="1"/>
    <col min="6" max="6" width="16.140625" bestFit="1" customWidth="1"/>
    <col min="7" max="7" width="16" bestFit="1" customWidth="1"/>
    <col min="8" max="8" width="18.85546875" bestFit="1" customWidth="1"/>
    <col min="9" max="9" width="23.42578125" bestFit="1" customWidth="1"/>
    <col min="10" max="10" width="19" bestFit="1" customWidth="1"/>
    <col min="11" max="11" width="16.140625" bestFit="1" customWidth="1"/>
  </cols>
  <sheetData>
    <row r="1" spans="1:11" ht="21" customHeight="1" x14ac:dyDescent="0.25">
      <c r="A1" s="1" t="s">
        <v>0</v>
      </c>
      <c r="B1" s="1" t="s">
        <v>210</v>
      </c>
      <c r="C1" s="1" t="s">
        <v>143</v>
      </c>
      <c r="D1" s="1" t="s">
        <v>212</v>
      </c>
      <c r="E1" s="1" t="s">
        <v>35</v>
      </c>
      <c r="F1" s="1" t="s">
        <v>36</v>
      </c>
      <c r="G1" s="1" t="s">
        <v>37</v>
      </c>
      <c r="H1" s="1" t="s">
        <v>213</v>
      </c>
      <c r="I1" s="1" t="s">
        <v>214</v>
      </c>
      <c r="J1" s="1" t="s">
        <v>215</v>
      </c>
      <c r="K1" s="1" t="s">
        <v>216</v>
      </c>
    </row>
    <row r="2" spans="1:11" x14ac:dyDescent="0.25">
      <c r="A2">
        <v>2021</v>
      </c>
      <c r="B2" s="43">
        <v>11526</v>
      </c>
      <c r="C2" s="30">
        <v>9175</v>
      </c>
      <c r="D2" s="28">
        <f>B2-C2</f>
        <v>2351</v>
      </c>
      <c r="E2" s="3">
        <v>14695</v>
      </c>
      <c r="F2" s="45">
        <v>97497</v>
      </c>
      <c r="G2" s="46">
        <v>41275</v>
      </c>
      <c r="H2" s="42">
        <f>B2/G2</f>
        <v>0.2792489400363416</v>
      </c>
      <c r="I2" s="42">
        <f>D2/E2</f>
        <v>0.15998638992854713</v>
      </c>
      <c r="J2" s="48">
        <f>B2/F2</f>
        <v>0.11821902212375765</v>
      </c>
      <c r="K2" s="48">
        <f>G2/F2</f>
        <v>0.42334635937516024</v>
      </c>
    </row>
    <row r="3" spans="1:11" x14ac:dyDescent="0.25">
      <c r="A3">
        <v>2022</v>
      </c>
      <c r="B3" s="44">
        <v>9515</v>
      </c>
      <c r="C3" s="34">
        <v>7079</v>
      </c>
      <c r="D3" s="28">
        <f t="shared" ref="D3:D6" si="0">B3-C3</f>
        <v>2436</v>
      </c>
      <c r="E3" s="3">
        <v>15926</v>
      </c>
      <c r="F3" s="45">
        <v>94002</v>
      </c>
      <c r="G3" s="49">
        <v>39773</v>
      </c>
      <c r="H3" s="42">
        <f t="shared" ref="H3:H6" si="1">B3/G3</f>
        <v>0.23923264526186105</v>
      </c>
      <c r="I3" s="42">
        <f t="shared" ref="I3:I6" si="2">D3/E3</f>
        <v>0.15295742810498555</v>
      </c>
      <c r="J3" s="48">
        <f t="shared" ref="J3:J6" si="3">B3/F3</f>
        <v>0.10122125061168911</v>
      </c>
      <c r="K3" s="48">
        <f t="shared" ref="K3:K6" si="4">G3/F3</f>
        <v>0.42310801897831962</v>
      </c>
    </row>
    <row r="4" spans="1:11" x14ac:dyDescent="0.25">
      <c r="A4">
        <v>2023</v>
      </c>
      <c r="B4" s="43">
        <v>8391</v>
      </c>
      <c r="C4" s="30">
        <v>10123</v>
      </c>
      <c r="D4" s="28">
        <f t="shared" si="0"/>
        <v>-1732</v>
      </c>
      <c r="E4" s="3">
        <v>16757</v>
      </c>
      <c r="F4" s="45">
        <v>101852</v>
      </c>
      <c r="G4" s="47">
        <v>44353</v>
      </c>
      <c r="H4" s="42">
        <f t="shared" si="1"/>
        <v>0.18918675174170857</v>
      </c>
      <c r="I4" s="42">
        <f t="shared" si="2"/>
        <v>-0.10335978993853315</v>
      </c>
      <c r="J4" s="48">
        <f t="shared" si="3"/>
        <v>8.2384243804736287E-2</v>
      </c>
      <c r="K4" s="48">
        <f t="shared" si="4"/>
        <v>0.43546518477791307</v>
      </c>
    </row>
    <row r="5" spans="1:11" x14ac:dyDescent="0.25">
      <c r="A5">
        <v>2024</v>
      </c>
      <c r="B5" s="44">
        <v>30962</v>
      </c>
      <c r="C5" s="34">
        <v>7508</v>
      </c>
      <c r="D5" s="28">
        <f t="shared" si="0"/>
        <v>23454</v>
      </c>
      <c r="E5" s="3">
        <v>14688</v>
      </c>
      <c r="F5" s="45">
        <v>124413</v>
      </c>
      <c r="G5" s="49">
        <v>45457</v>
      </c>
      <c r="H5" s="42">
        <f t="shared" si="1"/>
        <v>0.68112721913016694</v>
      </c>
      <c r="I5" s="42">
        <f t="shared" si="2"/>
        <v>1.5968137254901962</v>
      </c>
      <c r="J5" s="48">
        <f t="shared" si="3"/>
        <v>0.2488646684831971</v>
      </c>
      <c r="K5" s="48">
        <f t="shared" si="4"/>
        <v>0.36537178590661745</v>
      </c>
    </row>
    <row r="6" spans="1:11" x14ac:dyDescent="0.25">
      <c r="A6">
        <v>2025</v>
      </c>
      <c r="B6" s="43">
        <v>28093</v>
      </c>
      <c r="C6" s="30">
        <v>8346</v>
      </c>
      <c r="D6" s="28">
        <f t="shared" si="0"/>
        <v>19747</v>
      </c>
      <c r="E6" s="3">
        <v>14571</v>
      </c>
      <c r="F6" s="45">
        <v>122291</v>
      </c>
      <c r="G6" s="46">
        <v>46843</v>
      </c>
      <c r="H6" s="42">
        <f t="shared" si="1"/>
        <v>0.59972674679247695</v>
      </c>
      <c r="I6" s="42">
        <f t="shared" si="2"/>
        <v>1.3552261341019833</v>
      </c>
      <c r="J6" s="48">
        <f t="shared" si="3"/>
        <v>0.22972254703943873</v>
      </c>
      <c r="K6" s="48">
        <f t="shared" si="4"/>
        <v>0.38304535902069653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7AB3-70AA-4604-87DB-060B3123D789}">
  <dimension ref="A1:O15"/>
  <sheetViews>
    <sheetView tabSelected="1" workbookViewId="0">
      <selection activeCell="O14" sqref="O14"/>
    </sheetView>
  </sheetViews>
  <sheetFormatPr defaultRowHeight="15" x14ac:dyDescent="0.25"/>
  <cols>
    <col min="2" max="2" width="10.5703125" bestFit="1" customWidth="1"/>
    <col min="3" max="3" width="18.42578125" bestFit="1" customWidth="1"/>
    <col min="4" max="4" width="13.85546875" customWidth="1"/>
    <col min="5" max="5" width="11.28515625" bestFit="1" customWidth="1"/>
    <col min="6" max="6" width="8" customWidth="1"/>
    <col min="8" max="8" width="11.42578125" bestFit="1" customWidth="1"/>
    <col min="9" max="9" width="16" customWidth="1"/>
    <col min="10" max="10" width="10.140625" bestFit="1" customWidth="1"/>
    <col min="12" max="12" width="15.85546875" bestFit="1" customWidth="1"/>
    <col min="14" max="14" width="10.42578125" bestFit="1" customWidth="1"/>
    <col min="15" max="15" width="19.140625" bestFit="1" customWidth="1"/>
  </cols>
  <sheetData>
    <row r="1" spans="1:15" ht="24.75" customHeight="1" x14ac:dyDescent="0.25">
      <c r="A1" s="52" t="s">
        <v>0</v>
      </c>
      <c r="B1" s="52" t="s">
        <v>217</v>
      </c>
      <c r="C1" s="52" t="s">
        <v>218</v>
      </c>
      <c r="D1" s="52" t="s">
        <v>219</v>
      </c>
      <c r="E1" s="52" t="s">
        <v>28</v>
      </c>
      <c r="F1" s="52" t="s">
        <v>220</v>
      </c>
      <c r="G1" s="52" t="s">
        <v>221</v>
      </c>
      <c r="H1" s="52" t="s">
        <v>37</v>
      </c>
      <c r="I1" s="52" t="s">
        <v>222</v>
      </c>
      <c r="J1" s="52" t="s">
        <v>210</v>
      </c>
      <c r="K1" s="52" t="s">
        <v>223</v>
      </c>
      <c r="L1" s="52" t="s">
        <v>224</v>
      </c>
      <c r="M1" s="52" t="s">
        <v>35</v>
      </c>
      <c r="N1" s="52" t="s">
        <v>225</v>
      </c>
      <c r="O1" s="52" t="s">
        <v>226</v>
      </c>
    </row>
    <row r="2" spans="1:15" x14ac:dyDescent="0.25">
      <c r="A2" s="64">
        <v>2021</v>
      </c>
      <c r="B2" s="56">
        <v>55.45</v>
      </c>
      <c r="C2" s="66">
        <v>4217</v>
      </c>
      <c r="D2" s="57">
        <f>B2*C2</f>
        <v>233832.65000000002</v>
      </c>
      <c r="E2" s="66">
        <v>10591</v>
      </c>
      <c r="F2" s="58">
        <f>E2/C2</f>
        <v>2.5115010671093194</v>
      </c>
      <c r="G2" s="68">
        <f>B2/F2</f>
        <v>22.078429798885846</v>
      </c>
      <c r="H2" s="59">
        <v>41275</v>
      </c>
      <c r="I2" s="70">
        <f>D2/H2</f>
        <v>5.6652368261659607</v>
      </c>
      <c r="J2" s="60">
        <v>11526</v>
      </c>
      <c r="K2" s="72">
        <v>9175</v>
      </c>
      <c r="L2" s="61">
        <f>D2+J2-K2</f>
        <v>236183.65000000002</v>
      </c>
      <c r="M2" s="74">
        <v>14695</v>
      </c>
      <c r="N2" s="61">
        <f>L2/M2</f>
        <v>16.072381762504254</v>
      </c>
      <c r="O2" s="75">
        <f>(B2-'CSCO Daily'!B1450)/'CSCO Daily'!B1450</f>
        <v>0.17728237791932061</v>
      </c>
    </row>
    <row r="3" spans="1:15" x14ac:dyDescent="0.25">
      <c r="A3" s="65">
        <v>2022</v>
      </c>
      <c r="B3" s="38">
        <v>45.28</v>
      </c>
      <c r="C3" s="67">
        <v>4110</v>
      </c>
      <c r="D3" s="53">
        <f t="shared" ref="D3:D6" si="0">B3*C3</f>
        <v>186100.80000000002</v>
      </c>
      <c r="E3" s="67">
        <v>11812</v>
      </c>
      <c r="F3" s="54">
        <f t="shared" ref="F3:F6" si="1">E3/C3</f>
        <v>2.8739659367396593</v>
      </c>
      <c r="G3" s="69">
        <f t="shared" ref="G3:G6" si="2">B3/F3</f>
        <v>15.755231967490689</v>
      </c>
      <c r="H3" s="62">
        <v>39773</v>
      </c>
      <c r="I3" s="71">
        <f t="shared" ref="I3:I6" si="3">D3/H3</f>
        <v>4.6790737434943308</v>
      </c>
      <c r="J3" s="28">
        <v>9515</v>
      </c>
      <c r="K3" s="73">
        <v>7079</v>
      </c>
      <c r="L3" s="55">
        <f t="shared" ref="L3:L6" si="4">D3+J3-K3</f>
        <v>188536.80000000002</v>
      </c>
      <c r="M3" s="67">
        <v>15926</v>
      </c>
      <c r="N3" s="55">
        <f t="shared" ref="N3:N6" si="5">L3/M3</f>
        <v>11.838302147431873</v>
      </c>
      <c r="O3" s="76">
        <f>(B3-B2)/B2</f>
        <v>-0.18340847610459876</v>
      </c>
    </row>
    <row r="4" spans="1:15" x14ac:dyDescent="0.25">
      <c r="A4" s="64">
        <v>2023</v>
      </c>
      <c r="B4" s="56">
        <v>52.04</v>
      </c>
      <c r="C4" s="66">
        <v>4066</v>
      </c>
      <c r="D4" s="57">
        <f t="shared" si="0"/>
        <v>211594.63999999998</v>
      </c>
      <c r="E4" s="66">
        <v>12613</v>
      </c>
      <c r="F4" s="58">
        <f t="shared" si="1"/>
        <v>3.102065912444663</v>
      </c>
      <c r="G4" s="68">
        <f t="shared" si="2"/>
        <v>16.775916911123446</v>
      </c>
      <c r="H4" s="63">
        <v>44353</v>
      </c>
      <c r="I4" s="70">
        <f t="shared" si="3"/>
        <v>4.7706951051789055</v>
      </c>
      <c r="J4" s="60">
        <v>8391</v>
      </c>
      <c r="K4" s="72">
        <v>10123</v>
      </c>
      <c r="L4" s="61">
        <f t="shared" si="4"/>
        <v>209862.63999999998</v>
      </c>
      <c r="M4" s="74">
        <v>16757</v>
      </c>
      <c r="N4" s="61">
        <f t="shared" si="5"/>
        <v>12.523878975950348</v>
      </c>
      <c r="O4" s="75">
        <f t="shared" ref="O4:O6" si="6">(B4-B3)/B3</f>
        <v>0.14929328621908122</v>
      </c>
    </row>
    <row r="5" spans="1:15" x14ac:dyDescent="0.25">
      <c r="A5" s="65">
        <v>2024</v>
      </c>
      <c r="B5" s="38">
        <v>47.99</v>
      </c>
      <c r="C5" s="67">
        <v>4007</v>
      </c>
      <c r="D5" s="53">
        <f t="shared" si="0"/>
        <v>192295.93000000002</v>
      </c>
      <c r="E5" s="67">
        <v>10320</v>
      </c>
      <c r="F5" s="54">
        <f t="shared" si="1"/>
        <v>2.575492887446968</v>
      </c>
      <c r="G5" s="69">
        <f t="shared" si="2"/>
        <v>18.633326550387597</v>
      </c>
      <c r="H5" s="62">
        <v>45457</v>
      </c>
      <c r="I5" s="71">
        <f t="shared" si="3"/>
        <v>4.2302820247706627</v>
      </c>
      <c r="J5" s="28">
        <v>30962</v>
      </c>
      <c r="K5" s="73">
        <v>7508</v>
      </c>
      <c r="L5" s="55">
        <f t="shared" si="4"/>
        <v>215749.93000000002</v>
      </c>
      <c r="M5" s="67">
        <v>14688</v>
      </c>
      <c r="N5" s="55">
        <f t="shared" si="5"/>
        <v>14.688856889978215</v>
      </c>
      <c r="O5" s="76">
        <f>(B5-B4)/B4</f>
        <v>-7.7824750192159828E-2</v>
      </c>
    </row>
    <row r="6" spans="1:15" x14ac:dyDescent="0.25">
      <c r="A6" s="64">
        <v>2025</v>
      </c>
      <c r="B6" s="56">
        <v>67.92</v>
      </c>
      <c r="C6" s="66">
        <v>3960</v>
      </c>
      <c r="D6" s="57">
        <f t="shared" si="0"/>
        <v>268963.20000000001</v>
      </c>
      <c r="E6" s="66">
        <v>10180</v>
      </c>
      <c r="F6" s="58">
        <f t="shared" si="1"/>
        <v>2.5707070707070705</v>
      </c>
      <c r="G6" s="68">
        <f t="shared" si="2"/>
        <v>26.420746561886055</v>
      </c>
      <c r="H6" s="59">
        <v>46843</v>
      </c>
      <c r="I6" s="70">
        <f t="shared" si="3"/>
        <v>5.7418013363789679</v>
      </c>
      <c r="J6" s="60">
        <v>28093</v>
      </c>
      <c r="K6" s="72">
        <v>8346</v>
      </c>
      <c r="L6" s="61">
        <f t="shared" si="4"/>
        <v>288710.2</v>
      </c>
      <c r="M6" s="74">
        <v>14571</v>
      </c>
      <c r="N6" s="61">
        <f t="shared" si="5"/>
        <v>19.814027863564615</v>
      </c>
      <c r="O6" s="75">
        <f t="shared" si="6"/>
        <v>0.41529485309439462</v>
      </c>
    </row>
    <row r="8" spans="1:15" x14ac:dyDescent="0.25">
      <c r="G8" s="51"/>
    </row>
    <row r="9" spans="1:15" x14ac:dyDescent="0.25">
      <c r="G9" s="51"/>
    </row>
    <row r="10" spans="1:15" x14ac:dyDescent="0.25">
      <c r="B10" s="38"/>
      <c r="C10" s="1"/>
      <c r="D10" s="1"/>
      <c r="G10" s="51"/>
    </row>
    <row r="11" spans="1:15" x14ac:dyDescent="0.25">
      <c r="B11" s="38"/>
      <c r="C11" s="2"/>
      <c r="D11" s="2"/>
      <c r="G11" s="51"/>
    </row>
    <row r="12" spans="1:15" x14ac:dyDescent="0.25">
      <c r="B12" s="19"/>
      <c r="C12" s="2"/>
      <c r="D12" s="2"/>
      <c r="G12" s="51"/>
    </row>
    <row r="13" spans="1:15" x14ac:dyDescent="0.25">
      <c r="B13" s="38"/>
      <c r="C13" s="2"/>
      <c r="D13" s="2"/>
    </row>
    <row r="14" spans="1:15" x14ac:dyDescent="0.25">
      <c r="B14" s="38"/>
      <c r="C14" s="2"/>
      <c r="D14" s="2"/>
    </row>
    <row r="15" spans="1:15" x14ac:dyDescent="0.25">
      <c r="B15" s="19"/>
      <c r="C15" s="2"/>
      <c r="D15" s="2"/>
    </row>
  </sheetData>
  <sortState xmlns:xlrd2="http://schemas.microsoft.com/office/spreadsheetml/2017/richdata2" ref="C11:D15">
    <sortCondition ref="C11:C15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325F-F01A-47D0-AAD8-DF97E1F0E64F}">
  <dimension ref="A1:H16"/>
  <sheetViews>
    <sheetView workbookViewId="0">
      <selection activeCell="H16" sqref="H16"/>
    </sheetView>
  </sheetViews>
  <sheetFormatPr defaultRowHeight="15" x14ac:dyDescent="0.25"/>
  <cols>
    <col min="1" max="1" width="14" customWidth="1"/>
    <col min="2" max="2" width="38.7109375" customWidth="1"/>
    <col min="3" max="3" width="18" customWidth="1"/>
    <col min="4" max="4" width="21.28515625" customWidth="1"/>
    <col min="5" max="5" width="20.85546875" bestFit="1" customWidth="1"/>
    <col min="6" max="6" width="22.7109375" customWidth="1"/>
    <col min="7" max="7" width="18" customWidth="1"/>
    <col min="8" max="8" width="40" bestFit="1" customWidth="1"/>
  </cols>
  <sheetData>
    <row r="1" spans="1:8" ht="23.25" customHeight="1" x14ac:dyDescent="0.25">
      <c r="A1" s="90" t="s">
        <v>10</v>
      </c>
      <c r="B1" s="91" t="s">
        <v>2938</v>
      </c>
      <c r="C1" s="92" t="s">
        <v>2935</v>
      </c>
      <c r="D1" s="91" t="s">
        <v>3660</v>
      </c>
      <c r="E1" s="92" t="s">
        <v>2939</v>
      </c>
      <c r="F1" s="91" t="s">
        <v>2936</v>
      </c>
      <c r="G1" s="92" t="s">
        <v>2937</v>
      </c>
      <c r="H1" s="91" t="s">
        <v>2940</v>
      </c>
    </row>
    <row r="2" spans="1:8" ht="24.75" customHeight="1" x14ac:dyDescent="0.25">
      <c r="A2" s="89" t="s">
        <v>13</v>
      </c>
      <c r="B2" s="88" t="s">
        <v>3615</v>
      </c>
      <c r="C2" s="84" t="s">
        <v>2947</v>
      </c>
      <c r="D2" s="87">
        <v>35.51</v>
      </c>
      <c r="E2" s="85">
        <v>2.9495252048520701E-2</v>
      </c>
      <c r="F2" s="82">
        <v>2.3E-3</v>
      </c>
      <c r="G2" s="86" t="s">
        <v>3619</v>
      </c>
      <c r="H2" s="81" t="s">
        <v>3621</v>
      </c>
    </row>
    <row r="3" spans="1:8" ht="19.5" customHeight="1" x14ac:dyDescent="0.25">
      <c r="A3" s="115" t="s">
        <v>2941</v>
      </c>
      <c r="B3" s="116" t="s">
        <v>3616</v>
      </c>
      <c r="C3" s="117" t="s">
        <v>2945</v>
      </c>
      <c r="D3" s="118">
        <v>41.99</v>
      </c>
      <c r="E3" s="119">
        <v>2.18128938439177E-3</v>
      </c>
      <c r="F3" s="120">
        <v>9.1000000000000004E-3</v>
      </c>
      <c r="G3" s="121" t="s">
        <v>3620</v>
      </c>
      <c r="H3" s="122" t="s">
        <v>3622</v>
      </c>
    </row>
    <row r="4" spans="1:8" ht="18.75" customHeight="1" x14ac:dyDescent="0.25">
      <c r="A4" s="89" t="s">
        <v>2942</v>
      </c>
      <c r="B4" s="88" t="s">
        <v>3617</v>
      </c>
      <c r="C4" s="84" t="s">
        <v>3550</v>
      </c>
      <c r="D4" s="87">
        <v>87.67</v>
      </c>
      <c r="E4" s="85">
        <v>4.95303550973656E-2</v>
      </c>
      <c r="F4" s="82">
        <v>2.8500000000000001E-2</v>
      </c>
      <c r="G4" s="86" t="s">
        <v>3620</v>
      </c>
      <c r="H4" s="81" t="s">
        <v>3623</v>
      </c>
    </row>
    <row r="5" spans="1:8" ht="21" customHeight="1" x14ac:dyDescent="0.25">
      <c r="A5" s="123" t="s">
        <v>2943</v>
      </c>
      <c r="B5" s="124" t="s">
        <v>3618</v>
      </c>
      <c r="C5" s="125" t="s">
        <v>2944</v>
      </c>
      <c r="D5" s="126">
        <v>8.6</v>
      </c>
      <c r="E5" s="127">
        <v>2.2564981433875999E-2</v>
      </c>
      <c r="F5" s="128">
        <v>0</v>
      </c>
      <c r="G5" s="129" t="s">
        <v>3619</v>
      </c>
      <c r="H5" s="130" t="s">
        <v>3624</v>
      </c>
    </row>
    <row r="9" spans="1:8" x14ac:dyDescent="0.25">
      <c r="B9" s="1"/>
      <c r="C9" s="1"/>
      <c r="D9" s="1"/>
    </row>
    <row r="10" spans="1:8" x14ac:dyDescent="0.25">
      <c r="B10" s="2"/>
      <c r="C10" s="2"/>
      <c r="D10" s="2"/>
    </row>
    <row r="11" spans="1:8" x14ac:dyDescent="0.25">
      <c r="B11" s="2"/>
      <c r="C11" s="2"/>
      <c r="D11" s="2"/>
    </row>
    <row r="12" spans="1:8" x14ac:dyDescent="0.25">
      <c r="B12" s="2"/>
      <c r="C12" s="2"/>
      <c r="D12" s="2"/>
      <c r="E12" s="1"/>
      <c r="F12" s="1"/>
      <c r="G12" s="1"/>
    </row>
    <row r="13" spans="1:8" x14ac:dyDescent="0.25">
      <c r="B13" s="2"/>
      <c r="C13" s="2"/>
      <c r="D13" s="2"/>
      <c r="E13" s="2"/>
      <c r="F13" s="2"/>
      <c r="G13" s="83"/>
    </row>
    <row r="14" spans="1:8" x14ac:dyDescent="0.25">
      <c r="E14" s="2"/>
      <c r="F14" s="2"/>
      <c r="G14" s="2"/>
    </row>
    <row r="15" spans="1:8" x14ac:dyDescent="0.25">
      <c r="E15" s="2"/>
      <c r="F15" s="2"/>
      <c r="G15" s="2"/>
    </row>
    <row r="16" spans="1:8" x14ac:dyDescent="0.25">
      <c r="E16" s="2"/>
      <c r="F16" s="2"/>
      <c r="G16" s="2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28E2-4189-43BC-9C1F-FE745DDCBF50}">
  <dimension ref="A1:N25"/>
  <sheetViews>
    <sheetView workbookViewId="0">
      <selection activeCell="C7" sqref="C7"/>
    </sheetView>
  </sheetViews>
  <sheetFormatPr defaultRowHeight="15" x14ac:dyDescent="0.25"/>
  <cols>
    <col min="1" max="1" width="10.140625" bestFit="1" customWidth="1"/>
    <col min="2" max="2" width="15" bestFit="1" customWidth="1"/>
    <col min="3" max="3" width="17.140625" bestFit="1" customWidth="1"/>
    <col min="4" max="4" width="16.5703125" bestFit="1" customWidth="1"/>
    <col min="5" max="5" width="18.5703125" bestFit="1" customWidth="1"/>
    <col min="7" max="7" width="23.28515625" customWidth="1"/>
    <col min="8" max="8" width="20" customWidth="1"/>
    <col min="9" max="9" width="9.5703125" bestFit="1" customWidth="1"/>
    <col min="10" max="10" width="20.5703125" bestFit="1" customWidth="1"/>
    <col min="13" max="13" width="9" customWidth="1"/>
  </cols>
  <sheetData>
    <row r="1" spans="1:14" ht="27.75" customHeight="1" x14ac:dyDescent="0.25">
      <c r="A1" s="1" t="s">
        <v>3661</v>
      </c>
      <c r="B1" s="1" t="s">
        <v>3662</v>
      </c>
      <c r="C1" s="1" t="s">
        <v>3663</v>
      </c>
      <c r="D1" s="1" t="s">
        <v>3664</v>
      </c>
      <c r="E1" s="1" t="s">
        <v>3665</v>
      </c>
      <c r="G1" s="1" t="s">
        <v>3722</v>
      </c>
      <c r="H1" s="1" t="s">
        <v>3725</v>
      </c>
      <c r="I1" s="14" t="s">
        <v>3723</v>
      </c>
      <c r="J1" s="136" t="s">
        <v>3724</v>
      </c>
      <c r="M1" s="1"/>
      <c r="N1" s="1"/>
    </row>
    <row r="2" spans="1:14" x14ac:dyDescent="0.25">
      <c r="A2" t="s">
        <v>3666</v>
      </c>
      <c r="B2">
        <v>50.18</v>
      </c>
      <c r="C2">
        <v>482.88</v>
      </c>
      <c r="G2" s="133">
        <v>4.36E-2</v>
      </c>
      <c r="H2" s="134">
        <v>4.4600000000000001E-2</v>
      </c>
      <c r="I2" s="137">
        <f>I6</f>
        <v>0.6934039039055554</v>
      </c>
      <c r="J2" s="135">
        <f>G2+(I2*H2)</f>
        <v>7.4525814114187766E-2</v>
      </c>
      <c r="M2" s="50"/>
      <c r="N2" s="132"/>
    </row>
    <row r="3" spans="1:14" x14ac:dyDescent="0.25">
      <c r="A3" t="s">
        <v>1279</v>
      </c>
      <c r="B3">
        <v>48.37</v>
      </c>
      <c r="C3">
        <v>508.08</v>
      </c>
      <c r="D3" s="131">
        <f>(B3/B2)-1</f>
        <v>-3.6070147469111191E-2</v>
      </c>
      <c r="E3" s="131">
        <f>(C3/C2)-1</f>
        <v>5.2186878727634278E-2</v>
      </c>
    </row>
    <row r="4" spans="1:14" x14ac:dyDescent="0.25">
      <c r="A4" t="s">
        <v>1245</v>
      </c>
      <c r="B4">
        <v>49.91</v>
      </c>
      <c r="C4">
        <v>523.07000000000005</v>
      </c>
      <c r="D4" s="131">
        <f t="shared" ref="D4:D25" si="0">(B4/B3)-1</f>
        <v>3.183791606367592E-2</v>
      </c>
      <c r="E4" s="131">
        <f t="shared" ref="E4:E25" si="1">(C4/C3)-1</f>
        <v>2.9503227838135748E-2</v>
      </c>
    </row>
    <row r="5" spans="1:14" x14ac:dyDescent="0.25">
      <c r="A5" t="s">
        <v>1211</v>
      </c>
      <c r="B5">
        <v>46.98</v>
      </c>
      <c r="C5">
        <v>501.98</v>
      </c>
      <c r="D5" s="131">
        <f t="shared" si="0"/>
        <v>-5.8705670206371519E-2</v>
      </c>
      <c r="E5" s="131">
        <f t="shared" si="1"/>
        <v>-4.0319651289502434E-2</v>
      </c>
      <c r="G5" s="240" t="s">
        <v>3773</v>
      </c>
      <c r="H5" s="241" t="s">
        <v>3774</v>
      </c>
      <c r="I5" s="242" t="s">
        <v>3723</v>
      </c>
    </row>
    <row r="6" spans="1:14" x14ac:dyDescent="0.25">
      <c r="A6" t="s">
        <v>1173</v>
      </c>
      <c r="B6">
        <v>46.5</v>
      </c>
      <c r="C6">
        <v>527.37</v>
      </c>
      <c r="D6" s="131">
        <f t="shared" si="0"/>
        <v>-1.0217113665389466E-2</v>
      </c>
      <c r="E6" s="131">
        <f t="shared" si="1"/>
        <v>5.0579704370691925E-2</v>
      </c>
      <c r="G6" s="239">
        <f>COVAR(E:E,D:D)</f>
        <v>6.8929314085809722E-4</v>
      </c>
      <c r="H6" s="244">
        <f>VAR(E:E)</f>
        <v>9.9407161825264528E-4</v>
      </c>
      <c r="I6" s="243">
        <f>G6/H6</f>
        <v>0.6934039039055554</v>
      </c>
    </row>
    <row r="7" spans="1:14" x14ac:dyDescent="0.25">
      <c r="A7" t="s">
        <v>3672</v>
      </c>
      <c r="B7">
        <v>47.51</v>
      </c>
      <c r="C7">
        <v>544.22</v>
      </c>
      <c r="D7" s="131">
        <f t="shared" si="0"/>
        <v>2.1720430107526889E-2</v>
      </c>
      <c r="E7" s="131">
        <f t="shared" si="1"/>
        <v>3.1951002142708296E-2</v>
      </c>
    </row>
    <row r="8" spans="1:14" x14ac:dyDescent="0.25">
      <c r="A8" t="s">
        <v>1101</v>
      </c>
      <c r="B8">
        <v>48.45</v>
      </c>
      <c r="C8">
        <v>550.80999999999995</v>
      </c>
      <c r="D8" s="131">
        <f>(B8/B7)-1</f>
        <v>1.9785308356135678E-2</v>
      </c>
      <c r="E8" s="131">
        <f t="shared" si="1"/>
        <v>1.2109073536437309E-2</v>
      </c>
    </row>
    <row r="9" spans="1:14" x14ac:dyDescent="0.25">
      <c r="A9" t="s">
        <v>1061</v>
      </c>
      <c r="B9">
        <v>50.54</v>
      </c>
      <c r="C9">
        <v>563.67999999999995</v>
      </c>
      <c r="D9" s="131">
        <f t="shared" si="0"/>
        <v>4.3137254901960631E-2</v>
      </c>
      <c r="E9" s="131">
        <f t="shared" si="1"/>
        <v>2.3365588860042585E-2</v>
      </c>
    </row>
    <row r="10" spans="1:14" x14ac:dyDescent="0.25">
      <c r="A10" t="s">
        <v>3676</v>
      </c>
      <c r="B10">
        <v>53.22</v>
      </c>
      <c r="C10">
        <v>573.76</v>
      </c>
      <c r="D10" s="131">
        <f t="shared" si="0"/>
        <v>5.3027305104867528E-2</v>
      </c>
      <c r="E10" s="131">
        <f t="shared" si="1"/>
        <v>1.7882486517172946E-2</v>
      </c>
    </row>
    <row r="11" spans="1:14" x14ac:dyDescent="0.25">
      <c r="A11" t="s">
        <v>986</v>
      </c>
      <c r="B11">
        <v>54.77</v>
      </c>
      <c r="C11">
        <v>568.64</v>
      </c>
      <c r="D11" s="131">
        <f t="shared" si="0"/>
        <v>2.9124389327320532E-2</v>
      </c>
      <c r="E11" s="131">
        <f t="shared" si="1"/>
        <v>-8.9235917456776948E-3</v>
      </c>
    </row>
    <row r="12" spans="1:14" x14ac:dyDescent="0.25">
      <c r="A12" t="s">
        <v>944</v>
      </c>
      <c r="B12">
        <v>59.21</v>
      </c>
      <c r="C12">
        <v>602.54999999999995</v>
      </c>
      <c r="D12" s="131">
        <f t="shared" si="0"/>
        <v>8.1066277159028699E-2</v>
      </c>
      <c r="E12" s="131">
        <f t="shared" si="1"/>
        <v>5.9633511536297146E-2</v>
      </c>
    </row>
    <row r="13" spans="1:14" x14ac:dyDescent="0.25">
      <c r="A13" t="s">
        <v>3680</v>
      </c>
      <c r="B13">
        <v>59.2</v>
      </c>
      <c r="C13">
        <v>586.08000000000004</v>
      </c>
      <c r="D13" s="131">
        <f t="shared" si="0"/>
        <v>-1.6889039013678886E-4</v>
      </c>
      <c r="E13" s="131">
        <f t="shared" si="1"/>
        <v>-2.7333831217326243E-2</v>
      </c>
    </row>
    <row r="14" spans="1:14" x14ac:dyDescent="0.25">
      <c r="A14" t="s">
        <v>3682</v>
      </c>
      <c r="B14">
        <v>60.6</v>
      </c>
      <c r="C14">
        <v>601.82000000000005</v>
      </c>
      <c r="D14" s="131">
        <f t="shared" si="0"/>
        <v>2.3648648648648685E-2</v>
      </c>
      <c r="E14" s="131">
        <f t="shared" si="1"/>
        <v>2.6856401856401924E-2</v>
      </c>
    </row>
    <row r="15" spans="1:14" x14ac:dyDescent="0.25">
      <c r="A15" t="s">
        <v>3684</v>
      </c>
      <c r="B15">
        <v>64.11</v>
      </c>
      <c r="C15">
        <v>594.17999999999995</v>
      </c>
      <c r="D15" s="131">
        <f t="shared" si="0"/>
        <v>5.7920792079207972E-2</v>
      </c>
      <c r="E15" s="131">
        <f t="shared" si="1"/>
        <v>-1.2694825695390821E-2</v>
      </c>
    </row>
    <row r="16" spans="1:14" x14ac:dyDescent="0.25">
      <c r="A16" t="s">
        <v>3686</v>
      </c>
      <c r="B16">
        <v>61.71</v>
      </c>
      <c r="C16">
        <v>559.39</v>
      </c>
      <c r="D16" s="131">
        <f t="shared" si="0"/>
        <v>-3.7435657463734229E-2</v>
      </c>
      <c r="E16" s="131">
        <f t="shared" si="1"/>
        <v>-5.8551280756673041E-2</v>
      </c>
    </row>
    <row r="17" spans="1:5" x14ac:dyDescent="0.25">
      <c r="A17" t="s">
        <v>759</v>
      </c>
      <c r="B17">
        <v>57.73</v>
      </c>
      <c r="C17">
        <v>554.54</v>
      </c>
      <c r="D17" s="131">
        <f t="shared" si="0"/>
        <v>-6.4495219575433582E-2</v>
      </c>
      <c r="E17" s="131">
        <f t="shared" si="1"/>
        <v>-8.6701585655803992E-3</v>
      </c>
    </row>
    <row r="18" spans="1:5" x14ac:dyDescent="0.25">
      <c r="A18" t="s">
        <v>719</v>
      </c>
      <c r="B18">
        <v>63.04</v>
      </c>
      <c r="C18">
        <v>589.39</v>
      </c>
      <c r="D18" s="131">
        <f t="shared" si="0"/>
        <v>9.1979906461112204E-2</v>
      </c>
      <c r="E18" s="131">
        <f t="shared" si="1"/>
        <v>6.2844880441446982E-2</v>
      </c>
    </row>
    <row r="19" spans="1:5" x14ac:dyDescent="0.25">
      <c r="A19" t="s">
        <v>3690</v>
      </c>
      <c r="B19">
        <v>69.38</v>
      </c>
      <c r="C19">
        <v>617.85</v>
      </c>
      <c r="D19" s="131">
        <f t="shared" si="0"/>
        <v>0.10057106598984755</v>
      </c>
      <c r="E19" s="131">
        <f t="shared" si="1"/>
        <v>4.8287212202446694E-2</v>
      </c>
    </row>
    <row r="20" spans="1:5" x14ac:dyDescent="0.25">
      <c r="A20" t="s">
        <v>645</v>
      </c>
      <c r="B20">
        <v>68.08</v>
      </c>
      <c r="C20">
        <v>632.08000000000004</v>
      </c>
      <c r="D20" s="131">
        <f t="shared" si="0"/>
        <v>-1.8737388296338975E-2</v>
      </c>
      <c r="E20" s="131">
        <f t="shared" si="1"/>
        <v>2.3031480132718274E-2</v>
      </c>
    </row>
    <row r="21" spans="1:5" x14ac:dyDescent="0.25">
      <c r="A21" t="s">
        <v>605</v>
      </c>
      <c r="B21">
        <v>69.09</v>
      </c>
      <c r="C21">
        <v>645.04999999999995</v>
      </c>
      <c r="D21" s="131">
        <f t="shared" si="0"/>
        <v>1.4835487661574609E-2</v>
      </c>
      <c r="E21" s="131">
        <f t="shared" si="1"/>
        <v>2.0519554486773783E-2</v>
      </c>
    </row>
    <row r="22" spans="1:5" x14ac:dyDescent="0.25">
      <c r="A22" t="s">
        <v>3694</v>
      </c>
      <c r="B22">
        <v>68.42</v>
      </c>
      <c r="C22">
        <v>666.18</v>
      </c>
      <c r="D22" s="131">
        <f t="shared" si="0"/>
        <v>-9.6974960196845039E-3</v>
      </c>
      <c r="E22" s="131">
        <f t="shared" si="1"/>
        <v>3.2757150608480057E-2</v>
      </c>
    </row>
    <row r="23" spans="1:5" x14ac:dyDescent="0.25">
      <c r="A23" t="s">
        <v>527</v>
      </c>
      <c r="B23">
        <v>73.11</v>
      </c>
      <c r="C23">
        <v>682.06</v>
      </c>
      <c r="D23" s="131">
        <f t="shared" si="0"/>
        <v>6.8547208418590966E-2</v>
      </c>
      <c r="E23" s="131">
        <f t="shared" si="1"/>
        <v>2.38374013029512E-2</v>
      </c>
    </row>
    <row r="24" spans="1:5" x14ac:dyDescent="0.25">
      <c r="A24" t="s">
        <v>3697</v>
      </c>
      <c r="B24">
        <v>76.94</v>
      </c>
      <c r="C24">
        <v>683.39</v>
      </c>
      <c r="D24" s="131">
        <f t="shared" si="0"/>
        <v>5.2386814389276504E-2</v>
      </c>
      <c r="E24" s="131">
        <f t="shared" si="1"/>
        <v>1.9499750755065381E-3</v>
      </c>
    </row>
    <row r="25" spans="1:5" x14ac:dyDescent="0.25">
      <c r="A25" t="s">
        <v>446</v>
      </c>
      <c r="B25">
        <v>77.03</v>
      </c>
      <c r="C25">
        <v>681.92</v>
      </c>
      <c r="D25" s="131">
        <f t="shared" si="0"/>
        <v>1.1697426566155134E-3</v>
      </c>
      <c r="E25" s="131">
        <f t="shared" si="1"/>
        <v>-2.1510411331743251E-3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9BB4-2699-43AE-8F7C-D3CB21A4BC5C}">
  <dimension ref="A1:B19"/>
  <sheetViews>
    <sheetView topLeftCell="A3" workbookViewId="0">
      <selection activeCell="D19" sqref="D19"/>
    </sheetView>
  </sheetViews>
  <sheetFormatPr defaultRowHeight="15" x14ac:dyDescent="0.25"/>
  <cols>
    <col min="1" max="1" width="20.5703125" bestFit="1" customWidth="1"/>
    <col min="2" max="2" width="11.5703125" bestFit="1" customWidth="1"/>
    <col min="5" max="5" width="20.5703125" bestFit="1" customWidth="1"/>
    <col min="6" max="6" width="11.5703125" bestFit="1" customWidth="1"/>
  </cols>
  <sheetData>
    <row r="1" spans="1:2" ht="18" customHeight="1" x14ac:dyDescent="0.25">
      <c r="A1" s="245" t="s">
        <v>3731</v>
      </c>
      <c r="B1" s="246"/>
    </row>
    <row r="2" spans="1:2" ht="19.5" customHeight="1" x14ac:dyDescent="0.25">
      <c r="A2" s="148" t="s">
        <v>3727</v>
      </c>
      <c r="B2" s="139">
        <v>1593</v>
      </c>
    </row>
    <row r="3" spans="1:2" ht="17.25" customHeight="1" x14ac:dyDescent="0.25">
      <c r="A3" s="162" t="s">
        <v>3728</v>
      </c>
      <c r="B3" s="73">
        <v>28093</v>
      </c>
    </row>
    <row r="4" spans="1:2" ht="16.5" customHeight="1" x14ac:dyDescent="0.25">
      <c r="A4" s="148" t="s">
        <v>3729</v>
      </c>
      <c r="B4" s="139">
        <v>30962</v>
      </c>
    </row>
    <row r="5" spans="1:2" ht="18" customHeight="1" x14ac:dyDescent="0.25">
      <c r="A5" s="146" t="s">
        <v>3730</v>
      </c>
      <c r="B5" s="138">
        <f>(B3+B4)/2</f>
        <v>29527.5</v>
      </c>
    </row>
    <row r="6" spans="1:2" x14ac:dyDescent="0.25">
      <c r="A6" s="163" t="s">
        <v>3731</v>
      </c>
      <c r="B6" s="140">
        <f>B2/B5</f>
        <v>5.3949707899415798E-2</v>
      </c>
    </row>
    <row r="9" spans="1:2" x14ac:dyDescent="0.25">
      <c r="A9" s="247" t="s">
        <v>3741</v>
      </c>
      <c r="B9" s="248"/>
    </row>
    <row r="10" spans="1:2" ht="16.5" customHeight="1" x14ac:dyDescent="0.25">
      <c r="A10" s="148" t="s">
        <v>3732</v>
      </c>
      <c r="B10" s="149" cm="1">
        <f t="array" ref="B10">Tabella8[[Cost of Equity ke ]]</f>
        <v>7.4525814114187766E-2</v>
      </c>
    </row>
    <row r="11" spans="1:2" x14ac:dyDescent="0.25">
      <c r="A11" s="146" t="s">
        <v>3733</v>
      </c>
      <c r="B11" s="147">
        <v>5.3900000000000003E-2</v>
      </c>
    </row>
    <row r="12" spans="1:2" x14ac:dyDescent="0.25">
      <c r="A12" s="148" t="s">
        <v>3734</v>
      </c>
      <c r="B12" s="165">
        <v>0.21</v>
      </c>
    </row>
    <row r="13" spans="1:2" x14ac:dyDescent="0.25">
      <c r="A13" s="146" t="s">
        <v>3735</v>
      </c>
      <c r="B13" s="144">
        <v>268963</v>
      </c>
    </row>
    <row r="14" spans="1:2" x14ac:dyDescent="0.25">
      <c r="A14" s="148" t="s">
        <v>3736</v>
      </c>
      <c r="B14" s="66">
        <v>28093</v>
      </c>
    </row>
    <row r="15" spans="1:2" x14ac:dyDescent="0.25">
      <c r="A15" s="162" t="s">
        <v>3737</v>
      </c>
      <c r="B15" s="67">
        <f>B13+B14</f>
        <v>297056</v>
      </c>
    </row>
    <row r="16" spans="1:2" x14ac:dyDescent="0.25">
      <c r="A16" s="148" t="s">
        <v>3738</v>
      </c>
      <c r="B16" s="148">
        <f>B13/B15</f>
        <v>0.90542860605407738</v>
      </c>
    </row>
    <row r="17" spans="1:2" x14ac:dyDescent="0.25">
      <c r="A17" s="146" t="s">
        <v>3739</v>
      </c>
      <c r="B17" s="146">
        <f>B14/B15</f>
        <v>9.4571393945922649E-2</v>
      </c>
    </row>
    <row r="18" spans="1:2" x14ac:dyDescent="0.25">
      <c r="A18" s="148" t="s">
        <v>3740</v>
      </c>
      <c r="B18" s="149">
        <f>B11*(1-B12)</f>
        <v>4.2581000000000008E-2</v>
      </c>
    </row>
    <row r="19" spans="1:2" x14ac:dyDescent="0.25">
      <c r="A19" s="164" t="s">
        <v>3741</v>
      </c>
      <c r="B19" s="166">
        <f>B10*B16+B18*B17</f>
        <v>7.1504748514065658E-2</v>
      </c>
    </row>
  </sheetData>
  <mergeCells count="2">
    <mergeCell ref="A1:B1"/>
    <mergeCell ref="A9:B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A5DD-CCBF-41EB-BB31-9AC5BE8868B9}">
  <dimension ref="A1:N29"/>
  <sheetViews>
    <sheetView topLeftCell="A5" workbookViewId="0">
      <selection activeCell="J10" sqref="J10"/>
    </sheetView>
  </sheetViews>
  <sheetFormatPr defaultRowHeight="15" x14ac:dyDescent="0.25"/>
  <cols>
    <col min="1" max="1" width="27" bestFit="1" customWidth="1"/>
    <col min="2" max="2" width="11.28515625" bestFit="1" customWidth="1"/>
    <col min="4" max="4" width="12.42578125" bestFit="1" customWidth="1"/>
    <col min="5" max="5" width="13.140625" bestFit="1" customWidth="1"/>
    <col min="6" max="6" width="17.42578125" bestFit="1" customWidth="1"/>
    <col min="7" max="7" width="16.85546875" bestFit="1" customWidth="1"/>
    <col min="8" max="8" width="10.140625" bestFit="1" customWidth="1"/>
    <col min="9" max="9" width="26.85546875" bestFit="1" customWidth="1"/>
    <col min="10" max="10" width="15.28515625" bestFit="1" customWidth="1"/>
    <col min="11" max="11" width="26.85546875" bestFit="1" customWidth="1"/>
    <col min="12" max="12" width="22.42578125" bestFit="1" customWidth="1"/>
    <col min="13" max="13" width="18.140625" bestFit="1" customWidth="1"/>
  </cols>
  <sheetData>
    <row r="1" spans="1:14" ht="18" customHeight="1" x14ac:dyDescent="0.25">
      <c r="A1" s="207" t="s">
        <v>0</v>
      </c>
      <c r="B1" s="208" t="s">
        <v>28</v>
      </c>
      <c r="C1" s="208" t="s">
        <v>29</v>
      </c>
      <c r="D1" s="208" t="s">
        <v>34</v>
      </c>
      <c r="E1" s="208" t="s">
        <v>3742</v>
      </c>
      <c r="F1" s="208" t="s">
        <v>142</v>
      </c>
      <c r="G1" s="208" t="s">
        <v>144</v>
      </c>
      <c r="H1" s="208" t="s">
        <v>210</v>
      </c>
      <c r="I1" s="208" t="s">
        <v>3764</v>
      </c>
      <c r="J1" s="208" t="s">
        <v>3743</v>
      </c>
      <c r="K1" s="208" t="s">
        <v>3744</v>
      </c>
      <c r="L1" s="208" t="s">
        <v>3745</v>
      </c>
      <c r="M1" s="208" t="s">
        <v>3746</v>
      </c>
      <c r="N1" s="209" t="s">
        <v>3747</v>
      </c>
    </row>
    <row r="2" spans="1:14" x14ac:dyDescent="0.25">
      <c r="A2" s="210">
        <v>2021</v>
      </c>
      <c r="B2" s="66">
        <v>10591</v>
      </c>
      <c r="C2" s="74">
        <v>12833</v>
      </c>
      <c r="D2" s="66">
        <v>1862</v>
      </c>
      <c r="E2" s="64">
        <v>-692</v>
      </c>
      <c r="F2" s="74">
        <v>39112</v>
      </c>
      <c r="G2" s="74">
        <v>26257</v>
      </c>
      <c r="H2" s="141">
        <v>11526</v>
      </c>
      <c r="I2" s="74">
        <v>9175</v>
      </c>
      <c r="J2" s="142">
        <f>F2-G2</f>
        <v>12855</v>
      </c>
      <c r="K2" s="64"/>
      <c r="L2" s="64"/>
      <c r="M2" s="64"/>
      <c r="N2" s="211"/>
    </row>
    <row r="3" spans="1:14" x14ac:dyDescent="0.25">
      <c r="A3" s="212">
        <v>2022</v>
      </c>
      <c r="B3" s="144">
        <v>11812</v>
      </c>
      <c r="C3" s="144">
        <v>13969</v>
      </c>
      <c r="D3" s="144">
        <v>1957</v>
      </c>
      <c r="E3" s="143">
        <v>-477</v>
      </c>
      <c r="F3" s="144">
        <v>36717</v>
      </c>
      <c r="G3" s="144">
        <v>25640</v>
      </c>
      <c r="H3" s="145">
        <v>9515</v>
      </c>
      <c r="I3" s="144">
        <v>7079</v>
      </c>
      <c r="J3" s="145">
        <f>F3-G3</f>
        <v>11077</v>
      </c>
      <c r="K3" s="145">
        <f>J3-J2</f>
        <v>-1778</v>
      </c>
      <c r="L3" s="145">
        <f>H3-H2</f>
        <v>-2011</v>
      </c>
      <c r="M3" s="145">
        <f>B3+D3+E3-K3+L3</f>
        <v>13059</v>
      </c>
      <c r="N3" s="213">
        <f>(C3*$B$29)+D3+E3-K3</f>
        <v>14293.51</v>
      </c>
    </row>
    <row r="4" spans="1:14" x14ac:dyDescent="0.25">
      <c r="A4" s="210">
        <v>2023</v>
      </c>
      <c r="B4" s="66">
        <v>12613</v>
      </c>
      <c r="C4" s="74">
        <v>15031</v>
      </c>
      <c r="D4" s="66">
        <v>1726</v>
      </c>
      <c r="E4" s="64">
        <v>-849</v>
      </c>
      <c r="F4" s="74">
        <v>43348</v>
      </c>
      <c r="G4" s="74">
        <v>31309</v>
      </c>
      <c r="H4" s="141">
        <v>8391</v>
      </c>
      <c r="I4" s="74">
        <v>10123</v>
      </c>
      <c r="J4" s="142">
        <f>F4-G4</f>
        <v>12039</v>
      </c>
      <c r="K4" s="142">
        <f t="shared" ref="K4:K6" si="0">J4-J3</f>
        <v>962</v>
      </c>
      <c r="L4" s="142">
        <f>H4-H3</f>
        <v>-1124</v>
      </c>
      <c r="M4" s="142">
        <f>B4+D4+E4-K4+L4</f>
        <v>11404</v>
      </c>
      <c r="N4" s="214">
        <f>(C4*$B$29)+D4+E4-K4</f>
        <v>11789.49</v>
      </c>
    </row>
    <row r="5" spans="1:14" x14ac:dyDescent="0.25">
      <c r="A5" s="212">
        <v>2024</v>
      </c>
      <c r="B5" s="144">
        <v>10320</v>
      </c>
      <c r="C5" s="144">
        <v>12181</v>
      </c>
      <c r="D5" s="144">
        <v>2507</v>
      </c>
      <c r="E5" s="143">
        <v>-670</v>
      </c>
      <c r="F5" s="144">
        <v>36862</v>
      </c>
      <c r="G5" s="144">
        <v>40584</v>
      </c>
      <c r="H5" s="145">
        <v>30962</v>
      </c>
      <c r="I5" s="144">
        <v>7508</v>
      </c>
      <c r="J5" s="145">
        <f>F5-G5</f>
        <v>-3722</v>
      </c>
      <c r="K5" s="145">
        <f t="shared" si="0"/>
        <v>-15761</v>
      </c>
      <c r="L5" s="145">
        <f>H5-H4</f>
        <v>22571</v>
      </c>
      <c r="M5" s="145">
        <f>B5+D5+E5-K5+L5</f>
        <v>50489</v>
      </c>
      <c r="N5" s="213">
        <f>(C5*$B$29)+D5+E5-K5</f>
        <v>27220.989999999998</v>
      </c>
    </row>
    <row r="6" spans="1:14" x14ac:dyDescent="0.25">
      <c r="A6" s="215">
        <v>2025</v>
      </c>
      <c r="B6" s="216">
        <v>10180</v>
      </c>
      <c r="C6" s="217">
        <v>11760</v>
      </c>
      <c r="D6" s="216">
        <v>2811</v>
      </c>
      <c r="E6" s="218">
        <v>-905</v>
      </c>
      <c r="F6" s="217">
        <v>34986</v>
      </c>
      <c r="G6" s="217">
        <v>35064</v>
      </c>
      <c r="H6" s="219">
        <v>28093</v>
      </c>
      <c r="I6" s="217">
        <v>8346</v>
      </c>
      <c r="J6" s="220">
        <f>F6-G6</f>
        <v>-78</v>
      </c>
      <c r="K6" s="220">
        <f t="shared" si="0"/>
        <v>3644</v>
      </c>
      <c r="L6" s="220">
        <f>H6-H5</f>
        <v>-2869</v>
      </c>
      <c r="M6" s="220">
        <f>B6+D6+E6-K6+L6</f>
        <v>5573</v>
      </c>
      <c r="N6" s="221">
        <f>(C6*$B$29)+D6+E6-K6</f>
        <v>7552.4</v>
      </c>
    </row>
    <row r="9" spans="1:14" ht="15.75" customHeight="1" x14ac:dyDescent="0.25">
      <c r="A9" s="207" t="s">
        <v>3750</v>
      </c>
      <c r="B9" s="209" t="s">
        <v>3726</v>
      </c>
      <c r="D9" s="175" t="s">
        <v>0</v>
      </c>
      <c r="E9" s="176" t="s">
        <v>3753</v>
      </c>
      <c r="F9" s="176" t="s">
        <v>3760</v>
      </c>
      <c r="G9" s="177" t="s">
        <v>3758</v>
      </c>
      <c r="I9" s="190"/>
      <c r="J9" s="176" t="s">
        <v>3746</v>
      </c>
      <c r="K9" s="177" t="s">
        <v>3747</v>
      </c>
    </row>
    <row r="10" spans="1:14" ht="15" customHeight="1" x14ac:dyDescent="0.25">
      <c r="A10" s="222" t="s">
        <v>3755</v>
      </c>
      <c r="B10" s="223">
        <f>(B20/B19)^(1/4)-1</f>
        <v>3.2668839443442232E-2</v>
      </c>
      <c r="D10" s="178">
        <v>2025</v>
      </c>
      <c r="E10" s="150">
        <v>5573</v>
      </c>
      <c r="F10" s="143"/>
      <c r="G10" s="179"/>
      <c r="I10" s="191" t="s">
        <v>3761</v>
      </c>
      <c r="J10" s="150">
        <f>(E15*(1+B13))/(B14-B13)</f>
        <v>136988.1605633359</v>
      </c>
      <c r="K10" s="182">
        <f>(E24*(1+B13))/(B15-B13)</f>
        <v>197692.54642825667</v>
      </c>
    </row>
    <row r="11" spans="1:14" x14ac:dyDescent="0.25">
      <c r="A11" s="210" t="s">
        <v>3756</v>
      </c>
      <c r="B11" s="224">
        <v>3.5000000000000003E-2</v>
      </c>
      <c r="D11" s="180">
        <v>2026</v>
      </c>
      <c r="E11" s="170">
        <f>E10*(1+$B$11)</f>
        <v>5768.0549999999994</v>
      </c>
      <c r="F11" s="171">
        <f>1/(1+$B$14)^1</f>
        <v>0.93064306772785632</v>
      </c>
      <c r="G11" s="181">
        <f>E11*F11</f>
        <v>5368.0004000230001</v>
      </c>
      <c r="I11" s="192" t="s">
        <v>3762</v>
      </c>
      <c r="J11" s="184">
        <f>J10*F15</f>
        <v>95631.015491705999</v>
      </c>
      <c r="K11" s="186">
        <f>K10*F24</f>
        <v>139965.11180733249</v>
      </c>
    </row>
    <row r="12" spans="1:14" x14ac:dyDescent="0.25">
      <c r="A12" s="212" t="s">
        <v>3757</v>
      </c>
      <c r="B12" s="225">
        <v>2.1000000000000001E-2</v>
      </c>
      <c r="D12" s="178">
        <v>2027</v>
      </c>
      <c r="E12" s="150">
        <f t="shared" ref="E12:E15" si="1">E11*(1+$B$11)</f>
        <v>5969.9369249999991</v>
      </c>
      <c r="F12" s="143">
        <f>1/(1+$B$14)^2</f>
        <v>0.86609651950991529</v>
      </c>
      <c r="G12" s="182">
        <f t="shared" ref="G12:G15" si="2">E12*F12</f>
        <v>5170.5415924362251</v>
      </c>
    </row>
    <row r="13" spans="1:14" x14ac:dyDescent="0.25">
      <c r="A13" s="226" t="s">
        <v>3751</v>
      </c>
      <c r="B13" s="227">
        <v>2.5000000000000001E-2</v>
      </c>
      <c r="D13" s="180">
        <v>2028</v>
      </c>
      <c r="E13" s="170">
        <f t="shared" si="1"/>
        <v>6178.8847173749982</v>
      </c>
      <c r="F13" s="171">
        <f>1/(1+$B$14)^3</f>
        <v>0.80602672186512669</v>
      </c>
      <c r="G13" s="181">
        <f t="shared" si="2"/>
        <v>4980.3461935282994</v>
      </c>
    </row>
    <row r="14" spans="1:14" x14ac:dyDescent="0.25">
      <c r="A14" s="222" t="s">
        <v>3752</v>
      </c>
      <c r="B14" s="223" cm="1">
        <f t="array" ref="B14">Tabella8[[Cost of Equity ke ]]</f>
        <v>7.4525814114187766E-2</v>
      </c>
      <c r="D14" s="178">
        <v>2029</v>
      </c>
      <c r="E14" s="150">
        <f>E13*(1+$B$11)</f>
        <v>6395.145682483123</v>
      </c>
      <c r="F14" s="143">
        <f>1/(1+$B$14)^4</f>
        <v>0.75012318110718901</v>
      </c>
      <c r="G14" s="182">
        <f t="shared" si="2"/>
        <v>4797.1470229881452</v>
      </c>
      <c r="I14" s="190"/>
      <c r="J14" s="176" t="s">
        <v>3746</v>
      </c>
      <c r="K14" s="193"/>
      <c r="L14" s="177" t="s">
        <v>3747</v>
      </c>
    </row>
    <row r="15" spans="1:14" ht="15.75" customHeight="1" x14ac:dyDescent="0.25">
      <c r="A15" s="228" t="s">
        <v>3741</v>
      </c>
      <c r="B15" s="229">
        <f>'Cost of Debt'!B19</f>
        <v>7.1504748514065658E-2</v>
      </c>
      <c r="D15" s="183">
        <v>2030</v>
      </c>
      <c r="E15" s="184">
        <f t="shared" si="1"/>
        <v>6618.9757813700317</v>
      </c>
      <c r="F15" s="185">
        <f>1/(1+$B$14)^5</f>
        <v>0.69809693843937271</v>
      </c>
      <c r="G15" s="186">
        <f t="shared" si="2"/>
        <v>4620.6867285787739</v>
      </c>
      <c r="I15" s="191" t="s">
        <v>3763</v>
      </c>
      <c r="J15" s="144">
        <f>SUM(G11:G15)</f>
        <v>24936.721937554445</v>
      </c>
      <c r="K15" s="173" t="s">
        <v>3763</v>
      </c>
      <c r="L15" s="194">
        <f>SUM(G20:G24)</f>
        <v>34071.589952827962</v>
      </c>
    </row>
    <row r="16" spans="1:14" ht="15" customHeight="1" x14ac:dyDescent="0.25">
      <c r="D16" s="2"/>
      <c r="I16" s="191" t="s">
        <v>3762</v>
      </c>
      <c r="J16" s="172">
        <f>J11</f>
        <v>95631.015491705999</v>
      </c>
      <c r="K16" s="173" t="s">
        <v>3762</v>
      </c>
      <c r="L16" s="195">
        <f>K11</f>
        <v>139965.11180733249</v>
      </c>
    </row>
    <row r="17" spans="1:12" ht="15.75" customHeight="1" x14ac:dyDescent="0.25">
      <c r="I17" s="196" t="s">
        <v>3769</v>
      </c>
      <c r="J17" s="144">
        <f>J15+J16</f>
        <v>120567.73742926045</v>
      </c>
      <c r="K17" s="174" t="s">
        <v>224</v>
      </c>
      <c r="L17" s="194">
        <f>L15+L16</f>
        <v>174036.70176016045</v>
      </c>
    </row>
    <row r="18" spans="1:12" ht="15" customHeight="1" x14ac:dyDescent="0.25">
      <c r="A18" s="207" t="s">
        <v>0</v>
      </c>
      <c r="B18" s="209" t="s">
        <v>24</v>
      </c>
      <c r="D18" s="175" t="s">
        <v>0</v>
      </c>
      <c r="E18" s="176" t="s">
        <v>3754</v>
      </c>
      <c r="F18" s="176" t="s">
        <v>3760</v>
      </c>
      <c r="G18" s="177" t="s">
        <v>3759</v>
      </c>
      <c r="I18" s="197"/>
      <c r="J18" s="198"/>
      <c r="K18" s="199" t="s">
        <v>3765</v>
      </c>
      <c r="L18" s="200">
        <f>L17-B25</f>
        <v>154289.70176016045</v>
      </c>
    </row>
    <row r="19" spans="1:12" x14ac:dyDescent="0.25">
      <c r="A19" s="222">
        <v>2021</v>
      </c>
      <c r="B19" s="230">
        <v>49818</v>
      </c>
      <c r="D19" s="178">
        <v>2025</v>
      </c>
      <c r="E19" s="150">
        <v>7552</v>
      </c>
      <c r="F19" s="143"/>
      <c r="G19" s="179"/>
    </row>
    <row r="20" spans="1:12" ht="16.5" customHeight="1" x14ac:dyDescent="0.25">
      <c r="A20" s="228">
        <v>2025</v>
      </c>
      <c r="B20" s="231">
        <v>56654</v>
      </c>
      <c r="D20" s="180">
        <v>2026</v>
      </c>
      <c r="E20" s="170">
        <f>E19*(1+$B$11)</f>
        <v>7816.32</v>
      </c>
      <c r="F20" s="171">
        <f>1/(1+$B$15)^1</f>
        <v>0.9332669793454238</v>
      </c>
      <c r="G20" s="187">
        <f>E20*F20</f>
        <v>7294.7133559972226</v>
      </c>
      <c r="I20" s="201" t="s">
        <v>3766</v>
      </c>
      <c r="J20" s="202" t="s">
        <v>3726</v>
      </c>
    </row>
    <row r="21" spans="1:12" ht="15.75" customHeight="1" x14ac:dyDescent="0.25">
      <c r="D21" s="178">
        <v>2027</v>
      </c>
      <c r="E21" s="150">
        <f t="shared" ref="E21:E24" si="3">E20*(1+$B$11)</f>
        <v>8089.8911999999991</v>
      </c>
      <c r="F21" s="143">
        <f>1/(1+$B$15)^2</f>
        <v>0.87098725473653171</v>
      </c>
      <c r="G21" s="188">
        <f>E21*F21</f>
        <v>7046.1921274052256</v>
      </c>
      <c r="I21" s="196" t="s">
        <v>3767</v>
      </c>
      <c r="J21" s="203">
        <f>J17</f>
        <v>120567.73742926045</v>
      </c>
    </row>
    <row r="22" spans="1:12" ht="15" customHeight="1" x14ac:dyDescent="0.25">
      <c r="D22" s="180">
        <v>2028</v>
      </c>
      <c r="E22" s="170">
        <f>E21*(1+$B$11)</f>
        <v>8373.0373919999984</v>
      </c>
      <c r="F22" s="171">
        <f>1/(1+$B$15)^3</f>
        <v>0.81286364427632607</v>
      </c>
      <c r="G22" s="187">
        <f t="shared" ref="G22:G24" si="4">E22*F22</f>
        <v>6806.1376881230635</v>
      </c>
      <c r="I22" s="196" t="s">
        <v>3768</v>
      </c>
      <c r="J22" s="204">
        <f>L17</f>
        <v>174036.70176016045</v>
      </c>
    </row>
    <row r="23" spans="1:12" ht="15" customHeight="1" x14ac:dyDescent="0.25">
      <c r="A23" s="232" t="s">
        <v>210</v>
      </c>
      <c r="B23" s="233">
        <f>H6</f>
        <v>28093</v>
      </c>
      <c r="D23" s="178">
        <v>2029</v>
      </c>
      <c r="E23" s="150">
        <f t="shared" si="3"/>
        <v>8666.0937007199973</v>
      </c>
      <c r="F23" s="143">
        <f>1/(1+$B$15)^4</f>
        <v>0.75861879791347986</v>
      </c>
      <c r="G23" s="188">
        <f t="shared" si="4"/>
        <v>6574.2615858457848</v>
      </c>
      <c r="I23" s="196" t="s">
        <v>3765</v>
      </c>
      <c r="J23" s="203">
        <f>L18</f>
        <v>154289.70176016045</v>
      </c>
    </row>
    <row r="24" spans="1:12" ht="16.5" customHeight="1" x14ac:dyDescent="0.25">
      <c r="A24" s="234" t="s">
        <v>143</v>
      </c>
      <c r="B24" s="230">
        <f>I6</f>
        <v>8346</v>
      </c>
      <c r="D24" s="183">
        <v>2030</v>
      </c>
      <c r="E24" s="184">
        <f t="shared" si="3"/>
        <v>8969.4069802451959</v>
      </c>
      <c r="F24" s="185">
        <f>1/(1+$B$15)^5</f>
        <v>0.70799387400336988</v>
      </c>
      <c r="G24" s="189">
        <f t="shared" si="4"/>
        <v>6350.2851954566631</v>
      </c>
      <c r="I24" s="205" t="s">
        <v>3770</v>
      </c>
      <c r="J24" s="206">
        <v>268963</v>
      </c>
    </row>
    <row r="25" spans="1:12" x14ac:dyDescent="0.25">
      <c r="A25" s="235" t="s">
        <v>212</v>
      </c>
      <c r="B25" s="231">
        <f>B23-B24</f>
        <v>19747</v>
      </c>
      <c r="D25" s="2"/>
    </row>
    <row r="28" spans="1:12" x14ac:dyDescent="0.25">
      <c r="A28" s="207" t="s">
        <v>3748</v>
      </c>
      <c r="B28" s="209" t="s">
        <v>3749</v>
      </c>
    </row>
    <row r="29" spans="1:12" x14ac:dyDescent="0.25">
      <c r="A29" s="236">
        <v>0.21</v>
      </c>
      <c r="B29" s="237">
        <f>1-A29</f>
        <v>0.79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00FB-9672-4F7D-9576-2001F98EB664}">
  <dimension ref="A1:L74"/>
  <sheetViews>
    <sheetView workbookViewId="0">
      <selection activeCell="G9" sqref="G9"/>
    </sheetView>
  </sheetViews>
  <sheetFormatPr defaultRowHeight="15" x14ac:dyDescent="0.25"/>
  <cols>
    <col min="1" max="1" width="11.7109375" customWidth="1"/>
    <col min="2" max="2" width="50.42578125" bestFit="1" customWidth="1"/>
    <col min="3" max="5" width="12" bestFit="1" customWidth="1"/>
    <col min="8" max="8" width="11.7109375" customWidth="1"/>
    <col min="9" max="9" width="50.42578125" bestFit="1" customWidth="1"/>
    <col min="10" max="12" width="12" bestFit="1" customWidth="1"/>
  </cols>
  <sheetData>
    <row r="1" spans="1:12" x14ac:dyDescent="0.25">
      <c r="A1" s="249" t="s">
        <v>211</v>
      </c>
      <c r="B1" s="249"/>
      <c r="C1" s="249"/>
      <c r="D1" s="249"/>
      <c r="E1" s="249"/>
      <c r="H1" s="249" t="s">
        <v>211</v>
      </c>
      <c r="I1" s="249"/>
      <c r="J1" s="249"/>
      <c r="K1" s="249"/>
      <c r="L1" s="249"/>
    </row>
    <row r="2" spans="1:12" x14ac:dyDescent="0.25">
      <c r="A2" s="21"/>
      <c r="B2" s="16"/>
      <c r="C2" s="16"/>
      <c r="D2" s="16"/>
      <c r="E2" s="16"/>
      <c r="H2" s="21"/>
      <c r="I2" s="16"/>
      <c r="J2" s="16"/>
      <c r="K2" s="16"/>
      <c r="L2" s="16"/>
    </row>
    <row r="3" spans="1:12" x14ac:dyDescent="0.25">
      <c r="A3" s="21" t="s">
        <v>42</v>
      </c>
      <c r="B3" s="16"/>
      <c r="C3" s="16"/>
      <c r="D3" s="16"/>
      <c r="E3" s="16"/>
      <c r="H3" s="21" t="s">
        <v>42</v>
      </c>
      <c r="I3" s="16"/>
      <c r="J3" s="16"/>
      <c r="K3" s="16"/>
      <c r="L3" s="16"/>
    </row>
    <row r="4" spans="1:12" x14ac:dyDescent="0.25">
      <c r="A4" s="21" t="s">
        <v>43</v>
      </c>
      <c r="B4" s="16"/>
      <c r="C4" s="16"/>
      <c r="D4" s="16"/>
      <c r="E4" s="16"/>
      <c r="H4" s="21" t="s">
        <v>43</v>
      </c>
      <c r="I4" s="16"/>
      <c r="J4" s="16"/>
      <c r="K4" s="16"/>
      <c r="L4" s="16"/>
    </row>
    <row r="5" spans="1:12" x14ac:dyDescent="0.25">
      <c r="A5" s="21" t="s">
        <v>151</v>
      </c>
      <c r="B5" s="16"/>
      <c r="C5" s="16"/>
      <c r="D5" s="16"/>
      <c r="E5" s="16"/>
      <c r="H5" s="21" t="s">
        <v>151</v>
      </c>
      <c r="I5" s="16"/>
      <c r="J5" s="16"/>
      <c r="K5" s="16"/>
      <c r="L5" s="16"/>
    </row>
    <row r="6" spans="1:12" x14ac:dyDescent="0.25">
      <c r="A6" s="21" t="s">
        <v>45</v>
      </c>
      <c r="B6" s="16"/>
      <c r="C6" s="16"/>
      <c r="D6" s="16"/>
      <c r="E6" s="16"/>
      <c r="H6" s="21" t="s">
        <v>45</v>
      </c>
      <c r="I6" s="16"/>
      <c r="J6" s="16"/>
      <c r="K6" s="16"/>
      <c r="L6" s="16"/>
    </row>
    <row r="7" spans="1:12" x14ac:dyDescent="0.25">
      <c r="A7" s="21" t="s">
        <v>46</v>
      </c>
      <c r="B7" s="16"/>
      <c r="C7" s="16"/>
      <c r="D7" s="16"/>
      <c r="E7" s="16"/>
      <c r="H7" s="21" t="s">
        <v>137</v>
      </c>
      <c r="I7" s="16"/>
      <c r="J7" s="16"/>
      <c r="K7" s="16"/>
      <c r="L7" s="16"/>
    </row>
    <row r="8" spans="1:12" x14ac:dyDescent="0.25">
      <c r="A8" s="21" t="s">
        <v>47</v>
      </c>
      <c r="B8" s="16"/>
      <c r="C8" s="16"/>
      <c r="D8" s="16"/>
      <c r="E8" s="16"/>
      <c r="H8" s="21" t="s">
        <v>138</v>
      </c>
      <c r="I8" s="16"/>
      <c r="J8" s="16"/>
      <c r="K8" s="16"/>
      <c r="L8" s="16"/>
    </row>
    <row r="9" spans="1:12" x14ac:dyDescent="0.25">
      <c r="A9" s="22"/>
      <c r="B9" s="16"/>
      <c r="C9" s="16"/>
      <c r="D9" s="16"/>
      <c r="E9" s="16"/>
      <c r="H9" s="22"/>
      <c r="I9" s="16"/>
      <c r="J9" s="16"/>
      <c r="K9" s="16"/>
      <c r="L9" s="16"/>
    </row>
    <row r="10" spans="1:12" x14ac:dyDescent="0.25">
      <c r="A10" s="21" t="s">
        <v>42</v>
      </c>
      <c r="B10" s="16"/>
      <c r="C10" s="16"/>
      <c r="D10" s="16"/>
      <c r="E10" s="16"/>
      <c r="H10" s="21" t="s">
        <v>42</v>
      </c>
      <c r="I10" s="16"/>
      <c r="J10" s="16"/>
      <c r="K10" s="16"/>
      <c r="L10" s="16"/>
    </row>
    <row r="11" spans="1:12" x14ac:dyDescent="0.25">
      <c r="A11" s="16"/>
      <c r="B11" s="17" t="s">
        <v>109</v>
      </c>
      <c r="C11" s="23" t="s">
        <v>48</v>
      </c>
      <c r="D11" s="23" t="s">
        <v>49</v>
      </c>
      <c r="E11" s="23" t="s">
        <v>92</v>
      </c>
      <c r="H11" s="16"/>
      <c r="I11" s="17" t="s">
        <v>109</v>
      </c>
      <c r="J11" s="23" t="s">
        <v>93</v>
      </c>
      <c r="K11" s="23" t="s">
        <v>100</v>
      </c>
      <c r="L11" s="23" t="s">
        <v>101</v>
      </c>
    </row>
    <row r="12" spans="1:12" x14ac:dyDescent="0.25">
      <c r="A12" s="16"/>
      <c r="B12" s="17" t="s">
        <v>152</v>
      </c>
      <c r="C12" s="16"/>
      <c r="D12" s="16"/>
      <c r="E12" s="16"/>
      <c r="H12" s="16"/>
      <c r="I12" s="17" t="s">
        <v>152</v>
      </c>
      <c r="J12" s="16"/>
      <c r="K12" s="16"/>
      <c r="L12" s="16"/>
    </row>
    <row r="13" spans="1:12" x14ac:dyDescent="0.25">
      <c r="A13" s="16"/>
      <c r="B13" s="17" t="s">
        <v>153</v>
      </c>
      <c r="C13" s="18">
        <v>10180</v>
      </c>
      <c r="D13" s="18">
        <v>10320</v>
      </c>
      <c r="E13" s="18">
        <v>12613</v>
      </c>
      <c r="H13" s="16"/>
      <c r="I13" s="17" t="s">
        <v>153</v>
      </c>
      <c r="J13" s="18">
        <v>11812</v>
      </c>
      <c r="K13" s="18">
        <v>10591</v>
      </c>
      <c r="L13" s="18">
        <v>11214</v>
      </c>
    </row>
    <row r="14" spans="1:12" x14ac:dyDescent="0.25">
      <c r="A14" s="16"/>
      <c r="B14" s="17" t="s">
        <v>154</v>
      </c>
      <c r="C14" s="16"/>
      <c r="D14" s="16"/>
      <c r="E14" s="16"/>
      <c r="H14" s="16"/>
      <c r="I14" s="17" t="s">
        <v>154</v>
      </c>
      <c r="J14" s="16"/>
      <c r="K14" s="16"/>
      <c r="L14" s="16"/>
    </row>
    <row r="15" spans="1:12" x14ac:dyDescent="0.25">
      <c r="A15" s="16"/>
      <c r="B15" s="17" t="s">
        <v>155</v>
      </c>
      <c r="C15" s="18"/>
      <c r="D15" s="18"/>
      <c r="E15" s="18"/>
      <c r="H15" s="16"/>
      <c r="I15" s="17" t="s">
        <v>155</v>
      </c>
      <c r="J15" s="16"/>
      <c r="K15" s="16"/>
      <c r="L15" s="16"/>
    </row>
    <row r="16" spans="1:12" x14ac:dyDescent="0.25">
      <c r="A16" s="16"/>
      <c r="B16" s="17" t="s">
        <v>156</v>
      </c>
      <c r="C16" s="18">
        <v>2811</v>
      </c>
      <c r="D16" s="18">
        <v>2507</v>
      </c>
      <c r="E16" s="18">
        <v>1726</v>
      </c>
      <c r="H16" s="16"/>
      <c r="I16" s="17" t="s">
        <v>156</v>
      </c>
      <c r="J16" s="19">
        <v>1957</v>
      </c>
      <c r="K16" s="19">
        <v>1862</v>
      </c>
      <c r="L16" s="19">
        <v>1808</v>
      </c>
    </row>
    <row r="17" spans="1:12" x14ac:dyDescent="0.25">
      <c r="A17" s="16"/>
      <c r="B17" s="17" t="s">
        <v>157</v>
      </c>
      <c r="C17" s="18">
        <v>3641</v>
      </c>
      <c r="D17" s="18">
        <v>3074</v>
      </c>
      <c r="E17" s="18">
        <v>2353</v>
      </c>
      <c r="H17" s="16"/>
      <c r="I17" s="17" t="s">
        <v>157</v>
      </c>
      <c r="J17" s="19">
        <v>1886</v>
      </c>
      <c r="K17" s="19">
        <v>1761</v>
      </c>
      <c r="L17" s="19">
        <v>1569</v>
      </c>
    </row>
    <row r="18" spans="1:12" x14ac:dyDescent="0.25">
      <c r="A18" s="16"/>
      <c r="B18" s="17" t="s">
        <v>158</v>
      </c>
      <c r="C18" s="18">
        <v>24</v>
      </c>
      <c r="D18" s="18">
        <v>34</v>
      </c>
      <c r="E18" s="18">
        <v>31</v>
      </c>
      <c r="H18" s="16"/>
      <c r="I18" s="17" t="s">
        <v>203</v>
      </c>
      <c r="J18" s="19">
        <v>55</v>
      </c>
      <c r="K18" s="19">
        <v>-6</v>
      </c>
      <c r="L18" s="19">
        <v>93</v>
      </c>
    </row>
    <row r="19" spans="1:12" x14ac:dyDescent="0.25">
      <c r="A19" s="16"/>
      <c r="B19" s="17" t="s">
        <v>159</v>
      </c>
      <c r="C19" s="18">
        <v>-1133</v>
      </c>
      <c r="D19" s="18">
        <v>-972</v>
      </c>
      <c r="E19" s="18">
        <v>-2085</v>
      </c>
      <c r="H19" s="16"/>
      <c r="I19" s="17" t="s">
        <v>159</v>
      </c>
      <c r="J19" s="19">
        <v>-309</v>
      </c>
      <c r="K19" s="19">
        <v>-384</v>
      </c>
      <c r="L19" s="19">
        <v>-38</v>
      </c>
    </row>
    <row r="20" spans="1:12" x14ac:dyDescent="0.25">
      <c r="A20" s="16"/>
      <c r="B20" s="17" t="s">
        <v>160</v>
      </c>
      <c r="C20" s="18"/>
      <c r="D20" s="18"/>
      <c r="E20" s="18"/>
      <c r="H20" s="16"/>
      <c r="I20" s="17" t="s">
        <v>160</v>
      </c>
      <c r="J20" s="16"/>
      <c r="K20" s="16"/>
      <c r="L20" s="16"/>
    </row>
    <row r="21" spans="1:12" x14ac:dyDescent="0.25">
      <c r="A21" s="16"/>
      <c r="B21" s="17" t="s">
        <v>161</v>
      </c>
      <c r="C21" s="18">
        <v>-38</v>
      </c>
      <c r="D21" s="18">
        <v>215</v>
      </c>
      <c r="E21" s="18">
        <v>206</v>
      </c>
      <c r="H21" s="16"/>
      <c r="I21" s="17" t="s">
        <v>161</v>
      </c>
      <c r="J21" s="19">
        <v>-453</v>
      </c>
      <c r="K21" s="19">
        <v>-354</v>
      </c>
      <c r="L21" s="19">
        <v>-138</v>
      </c>
    </row>
    <row r="22" spans="1:12" x14ac:dyDescent="0.25">
      <c r="A22" s="16"/>
      <c r="B22" s="17" t="s">
        <v>162</v>
      </c>
      <c r="C22" s="18"/>
      <c r="D22" s="18"/>
      <c r="E22" s="18"/>
      <c r="H22" s="16"/>
      <c r="I22" s="17" t="s">
        <v>162</v>
      </c>
      <c r="J22" s="16"/>
      <c r="K22" s="16"/>
      <c r="L22" s="16"/>
    </row>
    <row r="23" spans="1:12" x14ac:dyDescent="0.25">
      <c r="A23" s="16"/>
      <c r="B23" s="17" t="s">
        <v>163</v>
      </c>
      <c r="C23" s="18"/>
      <c r="D23" s="18"/>
      <c r="E23" s="18"/>
      <c r="H23" s="16"/>
      <c r="I23" s="17" t="s">
        <v>163</v>
      </c>
      <c r="J23" s="16"/>
      <c r="K23" s="16"/>
      <c r="L23" s="16"/>
    </row>
    <row r="24" spans="1:12" x14ac:dyDescent="0.25">
      <c r="A24" s="16"/>
      <c r="B24" s="17" t="s">
        <v>164</v>
      </c>
      <c r="C24" s="18">
        <v>-22</v>
      </c>
      <c r="D24" s="18">
        <v>-289</v>
      </c>
      <c r="E24" s="18">
        <v>734</v>
      </c>
      <c r="H24" s="16"/>
      <c r="I24" s="17" t="s">
        <v>164</v>
      </c>
      <c r="J24" s="19">
        <v>-1009</v>
      </c>
      <c r="K24" s="19">
        <v>-107</v>
      </c>
      <c r="L24" s="19">
        <v>-107</v>
      </c>
    </row>
    <row r="25" spans="1:12" x14ac:dyDescent="0.25">
      <c r="A25" s="16"/>
      <c r="B25" s="17" t="s">
        <v>56</v>
      </c>
      <c r="C25" s="18">
        <v>209</v>
      </c>
      <c r="D25" s="18">
        <v>275</v>
      </c>
      <c r="E25" s="18">
        <v>-1069</v>
      </c>
      <c r="H25" s="16"/>
      <c r="I25" s="17" t="s">
        <v>56</v>
      </c>
      <c r="J25" s="19">
        <v>-1030</v>
      </c>
      <c r="K25" s="19">
        <v>-244</v>
      </c>
      <c r="L25" s="19">
        <v>84</v>
      </c>
    </row>
    <row r="26" spans="1:12" x14ac:dyDescent="0.25">
      <c r="A26" s="16"/>
      <c r="B26" s="17" t="s">
        <v>165</v>
      </c>
      <c r="C26" s="18">
        <v>214</v>
      </c>
      <c r="D26" s="18">
        <v>76</v>
      </c>
      <c r="E26" s="18">
        <v>1102</v>
      </c>
      <c r="H26" s="16"/>
      <c r="I26" s="17" t="s">
        <v>165</v>
      </c>
      <c r="J26" s="19">
        <v>1241</v>
      </c>
      <c r="K26" s="19">
        <v>1577</v>
      </c>
      <c r="L26" s="19">
        <v>-797</v>
      </c>
    </row>
    <row r="27" spans="1:12" x14ac:dyDescent="0.25">
      <c r="A27" s="16"/>
      <c r="B27" s="17" t="s">
        <v>64</v>
      </c>
      <c r="C27" s="18">
        <v>-499</v>
      </c>
      <c r="D27" s="18">
        <v>-671</v>
      </c>
      <c r="E27" s="18">
        <v>5</v>
      </c>
      <c r="H27" s="16"/>
      <c r="I27" s="17" t="s">
        <v>64</v>
      </c>
      <c r="J27" s="19">
        <v>-1615</v>
      </c>
      <c r="K27" s="19">
        <v>-797</v>
      </c>
      <c r="L27" s="19">
        <v>96</v>
      </c>
    </row>
    <row r="28" spans="1:12" x14ac:dyDescent="0.25">
      <c r="A28" s="16"/>
      <c r="B28" s="17" t="s">
        <v>69</v>
      </c>
      <c r="C28" s="18">
        <v>257</v>
      </c>
      <c r="D28" s="18">
        <v>-90</v>
      </c>
      <c r="E28" s="18">
        <v>27</v>
      </c>
      <c r="H28" s="16"/>
      <c r="I28" s="17" t="s">
        <v>69</v>
      </c>
      <c r="J28" s="19">
        <v>-55</v>
      </c>
      <c r="K28" s="19">
        <v>-53</v>
      </c>
      <c r="L28" s="19">
        <v>141</v>
      </c>
    </row>
    <row r="29" spans="1:12" x14ac:dyDescent="0.25">
      <c r="A29" s="16"/>
      <c r="B29" s="17" t="s">
        <v>166</v>
      </c>
      <c r="C29" s="18">
        <v>-1839</v>
      </c>
      <c r="D29" s="18">
        <v>-4539</v>
      </c>
      <c r="E29" s="18">
        <v>1218</v>
      </c>
      <c r="H29" s="16"/>
      <c r="I29" s="17" t="s">
        <v>166</v>
      </c>
      <c r="J29" s="19">
        <v>-690</v>
      </c>
      <c r="K29" s="19">
        <v>-549</v>
      </c>
      <c r="L29" s="19">
        <v>-322</v>
      </c>
    </row>
    <row r="30" spans="1:12" x14ac:dyDescent="0.25">
      <c r="A30" s="16"/>
      <c r="B30" s="17" t="s">
        <v>71</v>
      </c>
      <c r="C30" s="18">
        <v>-53</v>
      </c>
      <c r="D30" s="18">
        <v>-696</v>
      </c>
      <c r="E30" s="18">
        <v>651</v>
      </c>
      <c r="H30" s="16"/>
      <c r="I30" s="17" t="s">
        <v>71</v>
      </c>
      <c r="J30" s="19">
        <v>-427</v>
      </c>
      <c r="K30" s="19">
        <v>643</v>
      </c>
      <c r="L30" s="19">
        <v>-78</v>
      </c>
    </row>
    <row r="31" spans="1:12" x14ac:dyDescent="0.25">
      <c r="A31" s="16"/>
      <c r="B31" s="17" t="s">
        <v>72</v>
      </c>
      <c r="C31" s="18">
        <v>248</v>
      </c>
      <c r="D31" s="18">
        <v>1220</v>
      </c>
      <c r="E31" s="18">
        <v>2326</v>
      </c>
      <c r="H31" s="16"/>
      <c r="I31" s="17" t="s">
        <v>72</v>
      </c>
      <c r="J31" s="19">
        <v>1328</v>
      </c>
      <c r="K31" s="19">
        <v>1560</v>
      </c>
      <c r="L31" s="19">
        <v>2011</v>
      </c>
    </row>
    <row r="32" spans="1:12" x14ac:dyDescent="0.25">
      <c r="A32" s="16"/>
      <c r="B32" s="17" t="s">
        <v>167</v>
      </c>
      <c r="C32" s="18">
        <v>193</v>
      </c>
      <c r="D32" s="18">
        <v>416</v>
      </c>
      <c r="E32" s="18">
        <v>48</v>
      </c>
      <c r="H32" s="16"/>
      <c r="I32" s="17" t="s">
        <v>167</v>
      </c>
      <c r="J32" s="19">
        <v>535</v>
      </c>
      <c r="K32" s="19">
        <v>-46</v>
      </c>
      <c r="L32" s="19">
        <v>-110</v>
      </c>
    </row>
    <row r="33" spans="1:12" x14ac:dyDescent="0.25">
      <c r="A33" s="16"/>
      <c r="B33" s="23" t="s">
        <v>168</v>
      </c>
      <c r="C33" s="25">
        <v>14193</v>
      </c>
      <c r="D33" s="25">
        <v>10880</v>
      </c>
      <c r="E33" s="25">
        <v>19886</v>
      </c>
      <c r="H33" s="16"/>
      <c r="I33" s="23" t="s">
        <v>168</v>
      </c>
      <c r="J33" s="26">
        <v>13226</v>
      </c>
      <c r="K33" s="26">
        <v>15454</v>
      </c>
      <c r="L33" s="26">
        <v>15426</v>
      </c>
    </row>
    <row r="34" spans="1:12" x14ac:dyDescent="0.25">
      <c r="A34" s="16"/>
      <c r="B34" s="17" t="s">
        <v>169</v>
      </c>
      <c r="C34" s="18"/>
      <c r="D34" s="18"/>
      <c r="E34" s="18"/>
      <c r="H34" s="16"/>
      <c r="I34" s="17" t="s">
        <v>169</v>
      </c>
      <c r="J34" s="16"/>
      <c r="K34" s="16"/>
      <c r="L34" s="16"/>
    </row>
    <row r="35" spans="1:12" x14ac:dyDescent="0.25">
      <c r="A35" s="16"/>
      <c r="B35" s="17" t="s">
        <v>170</v>
      </c>
      <c r="C35" s="18">
        <v>-4589</v>
      </c>
      <c r="D35" s="18">
        <v>-4230</v>
      </c>
      <c r="E35" s="18">
        <v>-10871</v>
      </c>
      <c r="H35" s="16"/>
      <c r="I35" s="17" t="s">
        <v>170</v>
      </c>
      <c r="J35" s="19">
        <v>-6070</v>
      </c>
      <c r="K35" s="19">
        <v>-9328</v>
      </c>
      <c r="L35" s="19">
        <v>-9212</v>
      </c>
    </row>
    <row r="36" spans="1:12" s="38" customFormat="1" x14ac:dyDescent="0.25">
      <c r="A36" s="16"/>
      <c r="B36" s="17" t="s">
        <v>171</v>
      </c>
      <c r="C36" s="18">
        <v>2643</v>
      </c>
      <c r="D36" s="18">
        <v>4136</v>
      </c>
      <c r="E36" s="18">
        <v>1054</v>
      </c>
      <c r="H36" s="16"/>
      <c r="I36" s="17" t="s">
        <v>171</v>
      </c>
      <c r="J36" s="19">
        <v>2660</v>
      </c>
      <c r="K36" s="19">
        <v>3373</v>
      </c>
      <c r="L36" s="19">
        <v>5631</v>
      </c>
    </row>
    <row r="37" spans="1:12" x14ac:dyDescent="0.25">
      <c r="A37" s="41"/>
      <c r="B37" s="17" t="s">
        <v>172</v>
      </c>
      <c r="C37" s="18">
        <v>4943</v>
      </c>
      <c r="D37" s="18">
        <v>6367</v>
      </c>
      <c r="E37" s="18">
        <v>5978</v>
      </c>
      <c r="H37" s="16"/>
      <c r="I37" s="17" t="s">
        <v>172</v>
      </c>
      <c r="J37" s="19">
        <v>5686</v>
      </c>
      <c r="K37" s="19">
        <v>8409</v>
      </c>
      <c r="L37" s="19">
        <v>7975</v>
      </c>
    </row>
    <row r="38" spans="1:12" x14ac:dyDescent="0.25">
      <c r="A38" s="16"/>
      <c r="B38" s="17" t="s">
        <v>173</v>
      </c>
      <c r="C38" s="18">
        <v>-291</v>
      </c>
      <c r="D38" s="18">
        <v>-25994</v>
      </c>
      <c r="E38" s="18">
        <v>-301</v>
      </c>
      <c r="H38" s="16"/>
      <c r="I38" s="17" t="s">
        <v>173</v>
      </c>
      <c r="J38" s="16"/>
      <c r="K38" s="16"/>
      <c r="L38" s="16"/>
    </row>
    <row r="39" spans="1:12" x14ac:dyDescent="0.25">
      <c r="A39" s="16"/>
      <c r="B39" s="17" t="s">
        <v>174</v>
      </c>
      <c r="C39" s="18">
        <v>-383</v>
      </c>
      <c r="D39" s="18">
        <v>-284</v>
      </c>
      <c r="E39" s="18">
        <v>-185</v>
      </c>
      <c r="H39" s="16"/>
      <c r="I39" s="17" t="s">
        <v>204</v>
      </c>
      <c r="J39" s="19">
        <v>-373</v>
      </c>
      <c r="K39" s="19">
        <v>-7038</v>
      </c>
      <c r="L39" s="19">
        <v>-327</v>
      </c>
    </row>
    <row r="40" spans="1:12" x14ac:dyDescent="0.25">
      <c r="A40" s="16"/>
      <c r="B40" s="17" t="s">
        <v>175</v>
      </c>
      <c r="C40" s="18">
        <v>306</v>
      </c>
      <c r="D40" s="18">
        <v>202</v>
      </c>
      <c r="E40" s="18">
        <v>90</v>
      </c>
      <c r="H40" s="16"/>
      <c r="I40" s="17" t="s">
        <v>174</v>
      </c>
      <c r="J40" s="19">
        <v>-186</v>
      </c>
      <c r="K40" s="19">
        <v>-175</v>
      </c>
      <c r="L40" s="19">
        <v>-190</v>
      </c>
    </row>
    <row r="41" spans="1:12" s="38" customFormat="1" x14ac:dyDescent="0.25">
      <c r="A41" s="41"/>
      <c r="B41" s="23" t="s">
        <v>176</v>
      </c>
      <c r="C41" s="25">
        <v>-905</v>
      </c>
      <c r="D41" s="25">
        <v>-670</v>
      </c>
      <c r="E41" s="25">
        <v>-849</v>
      </c>
      <c r="H41" s="41"/>
      <c r="I41" s="17" t="s">
        <v>175</v>
      </c>
      <c r="J41" s="19">
        <v>237</v>
      </c>
      <c r="K41" s="19">
        <v>194</v>
      </c>
      <c r="L41" s="19">
        <v>224</v>
      </c>
    </row>
    <row r="42" spans="1:12" x14ac:dyDescent="0.25">
      <c r="A42" s="16"/>
      <c r="B42" s="17" t="s">
        <v>177</v>
      </c>
      <c r="C42" s="18">
        <v>9</v>
      </c>
      <c r="D42" s="18">
        <v>-5</v>
      </c>
      <c r="E42" s="18">
        <v>-23</v>
      </c>
      <c r="H42" s="16"/>
      <c r="I42" s="23" t="s">
        <v>176</v>
      </c>
      <c r="J42" s="26">
        <v>-477</v>
      </c>
      <c r="K42" s="26">
        <v>-692</v>
      </c>
      <c r="L42" s="26">
        <v>-770</v>
      </c>
    </row>
    <row r="43" spans="1:12" x14ac:dyDescent="0.25">
      <c r="A43" s="16"/>
      <c r="B43" s="17" t="s">
        <v>178</v>
      </c>
      <c r="C43" s="18">
        <v>1733</v>
      </c>
      <c r="D43" s="18">
        <v>-20478</v>
      </c>
      <c r="E43" s="18">
        <v>-5107</v>
      </c>
      <c r="H43" s="16"/>
      <c r="I43" s="17" t="s">
        <v>205</v>
      </c>
      <c r="J43" s="19">
        <v>91</v>
      </c>
      <c r="K43" s="19">
        <v>28</v>
      </c>
      <c r="L43" s="19">
        <v>179</v>
      </c>
    </row>
    <row r="44" spans="1:12" x14ac:dyDescent="0.25">
      <c r="A44" s="16"/>
      <c r="B44" s="17" t="s">
        <v>179</v>
      </c>
      <c r="C44" s="18"/>
      <c r="D44" s="18"/>
      <c r="E44" s="18"/>
      <c r="H44" s="16"/>
      <c r="I44" s="17" t="s">
        <v>177</v>
      </c>
      <c r="J44" s="19">
        <v>-15</v>
      </c>
      <c r="K44" s="19">
        <v>-56</v>
      </c>
      <c r="L44" s="19">
        <v>-10</v>
      </c>
    </row>
    <row r="45" spans="1:12" x14ac:dyDescent="0.25">
      <c r="A45" s="16"/>
      <c r="B45" s="17" t="s">
        <v>180</v>
      </c>
      <c r="C45" s="18">
        <v>736</v>
      </c>
      <c r="D45" s="18">
        <v>714</v>
      </c>
      <c r="E45" s="18">
        <v>700</v>
      </c>
      <c r="H45" s="16"/>
      <c r="I45" s="17" t="s">
        <v>178</v>
      </c>
      <c r="J45" s="19">
        <v>1553</v>
      </c>
      <c r="K45" s="19">
        <v>-5285</v>
      </c>
      <c r="L45" s="19">
        <v>3500</v>
      </c>
    </row>
    <row r="46" spans="1:12" x14ac:dyDescent="0.25">
      <c r="A46" s="16"/>
      <c r="B46" s="17" t="s">
        <v>181</v>
      </c>
      <c r="C46" s="18">
        <v>-6000</v>
      </c>
      <c r="D46" s="18">
        <v>-5787</v>
      </c>
      <c r="E46" s="18">
        <v>-4293</v>
      </c>
      <c r="H46" s="16"/>
      <c r="I46" s="17" t="s">
        <v>179</v>
      </c>
      <c r="J46" s="16"/>
      <c r="K46" s="16"/>
      <c r="L46" s="16"/>
    </row>
    <row r="47" spans="1:12" x14ac:dyDescent="0.25">
      <c r="A47" s="16"/>
      <c r="B47" s="17" t="s">
        <v>182</v>
      </c>
      <c r="C47" s="18"/>
      <c r="D47" s="18"/>
      <c r="E47" s="18"/>
      <c r="H47" s="16"/>
      <c r="I47" s="17" t="s">
        <v>180</v>
      </c>
      <c r="J47" s="19">
        <v>660</v>
      </c>
      <c r="K47" s="19">
        <v>643</v>
      </c>
      <c r="L47" s="19">
        <v>655</v>
      </c>
    </row>
    <row r="48" spans="1:12" x14ac:dyDescent="0.25">
      <c r="A48" s="16"/>
      <c r="B48" s="17" t="s">
        <v>183</v>
      </c>
      <c r="C48" s="18">
        <v>-1222</v>
      </c>
      <c r="D48" s="18">
        <v>-992</v>
      </c>
      <c r="E48" s="18">
        <v>-597</v>
      </c>
      <c r="H48" s="16"/>
      <c r="I48" s="17" t="s">
        <v>181</v>
      </c>
      <c r="J48" s="19">
        <v>-7689</v>
      </c>
      <c r="K48" s="19">
        <v>-2877</v>
      </c>
      <c r="L48" s="19">
        <v>-2659</v>
      </c>
    </row>
    <row r="49" spans="1:12" x14ac:dyDescent="0.25">
      <c r="A49" s="16"/>
      <c r="B49" s="17" t="s">
        <v>184</v>
      </c>
      <c r="C49" s="18"/>
      <c r="D49" s="18"/>
      <c r="E49" s="18"/>
      <c r="H49" s="16"/>
      <c r="I49" s="17" t="s">
        <v>182</v>
      </c>
      <c r="J49" s="16"/>
      <c r="K49" s="16"/>
      <c r="L49" s="16"/>
    </row>
    <row r="50" spans="1:12" x14ac:dyDescent="0.25">
      <c r="A50" s="16"/>
      <c r="B50" s="17" t="s">
        <v>185</v>
      </c>
      <c r="C50" s="18">
        <v>-31</v>
      </c>
      <c r="D50" s="18">
        <v>478</v>
      </c>
      <c r="E50" s="18">
        <v>-602</v>
      </c>
      <c r="H50" s="16"/>
      <c r="I50" s="17" t="s">
        <v>183</v>
      </c>
      <c r="J50" s="19">
        <v>-692</v>
      </c>
      <c r="K50" s="19">
        <v>-636</v>
      </c>
      <c r="L50" s="19">
        <v>-727</v>
      </c>
    </row>
    <row r="51" spans="1:12" x14ac:dyDescent="0.25">
      <c r="A51" s="16"/>
      <c r="B51" s="17" t="s">
        <v>186</v>
      </c>
      <c r="C51" s="18">
        <v>19292</v>
      </c>
      <c r="D51" s="18">
        <v>31818</v>
      </c>
      <c r="E51" s="18">
        <v>0</v>
      </c>
      <c r="H51" s="16"/>
      <c r="I51" s="17" t="s">
        <v>184</v>
      </c>
      <c r="J51" s="16"/>
      <c r="K51" s="16"/>
      <c r="L51" s="16"/>
    </row>
    <row r="52" spans="1:12" x14ac:dyDescent="0.25">
      <c r="A52" s="16"/>
      <c r="B52" s="17" t="s">
        <v>187</v>
      </c>
      <c r="C52" s="18">
        <v>-22073</v>
      </c>
      <c r="D52" s="18">
        <v>-9826</v>
      </c>
      <c r="E52" s="18">
        <v>-500</v>
      </c>
      <c r="H52" s="16"/>
      <c r="I52" s="17" t="s">
        <v>185</v>
      </c>
      <c r="J52" s="19">
        <v>606</v>
      </c>
      <c r="K52" s="19">
        <v>-5</v>
      </c>
      <c r="L52" s="19">
        <v>-3470</v>
      </c>
    </row>
    <row r="53" spans="1:12" x14ac:dyDescent="0.25">
      <c r="A53" s="16"/>
      <c r="B53" s="17" t="s">
        <v>188</v>
      </c>
      <c r="C53" s="18"/>
      <c r="D53" s="18"/>
      <c r="E53" s="18"/>
      <c r="H53" s="16"/>
      <c r="I53" s="17" t="s">
        <v>186</v>
      </c>
      <c r="J53" s="19">
        <v>1049</v>
      </c>
      <c r="K53" s="20">
        <v>0</v>
      </c>
      <c r="L53" s="20">
        <v>0</v>
      </c>
    </row>
    <row r="54" spans="1:12" x14ac:dyDescent="0.25">
      <c r="A54" s="16"/>
      <c r="B54" s="17" t="s">
        <v>189</v>
      </c>
      <c r="C54" s="18">
        <v>0</v>
      </c>
      <c r="D54" s="18">
        <v>-3140</v>
      </c>
      <c r="E54" s="18">
        <v>0</v>
      </c>
      <c r="H54" s="16"/>
      <c r="I54" s="17" t="s">
        <v>187</v>
      </c>
      <c r="J54" s="19">
        <v>-3550</v>
      </c>
      <c r="K54" s="19">
        <v>-3000</v>
      </c>
      <c r="L54" s="19">
        <v>-6720</v>
      </c>
    </row>
    <row r="55" spans="1:12" x14ac:dyDescent="0.25">
      <c r="A55" s="16"/>
      <c r="B55" s="17" t="s">
        <v>190</v>
      </c>
      <c r="C55" s="18">
        <v>-6437</v>
      </c>
      <c r="D55" s="18">
        <v>-6384</v>
      </c>
      <c r="E55" s="18">
        <v>-6302</v>
      </c>
      <c r="H55" s="16"/>
      <c r="I55" s="17" t="s">
        <v>190</v>
      </c>
      <c r="J55" s="19">
        <v>-6224</v>
      </c>
      <c r="K55" s="19">
        <v>-6163</v>
      </c>
      <c r="L55" s="19">
        <v>-6016</v>
      </c>
    </row>
    <row r="56" spans="1:12" x14ac:dyDescent="0.25">
      <c r="A56" s="16"/>
      <c r="B56" s="17" t="s">
        <v>177</v>
      </c>
      <c r="C56" s="18">
        <v>-80</v>
      </c>
      <c r="D56" s="18">
        <v>-37</v>
      </c>
      <c r="E56" s="18">
        <v>-32</v>
      </c>
      <c r="H56" s="16"/>
      <c r="I56" s="17" t="s">
        <v>177</v>
      </c>
      <c r="J56" s="19">
        <v>-122</v>
      </c>
      <c r="K56" s="19">
        <v>-59</v>
      </c>
      <c r="L56" s="19">
        <v>81</v>
      </c>
    </row>
    <row r="57" spans="1:12" x14ac:dyDescent="0.25">
      <c r="A57" s="16"/>
      <c r="B57" s="17" t="s">
        <v>191</v>
      </c>
      <c r="C57" s="18">
        <v>-15815</v>
      </c>
      <c r="D57" s="18">
        <v>6844</v>
      </c>
      <c r="E57" s="18">
        <v>-11626</v>
      </c>
      <c r="H57" s="16"/>
      <c r="I57" s="17" t="s">
        <v>206</v>
      </c>
      <c r="J57" s="19">
        <v>-15962</v>
      </c>
      <c r="K57" s="19">
        <v>-12097</v>
      </c>
      <c r="L57" s="19">
        <v>-18856</v>
      </c>
    </row>
    <row r="58" spans="1:12" x14ac:dyDescent="0.25">
      <c r="A58" s="16"/>
      <c r="B58" s="17" t="s">
        <v>192</v>
      </c>
      <c r="C58" s="18"/>
      <c r="D58" s="18"/>
      <c r="E58" s="18"/>
      <c r="H58" s="16"/>
      <c r="I58" s="17" t="s">
        <v>192</v>
      </c>
      <c r="J58" s="16"/>
      <c r="K58" s="16"/>
      <c r="L58" s="16"/>
    </row>
    <row r="59" spans="1:12" x14ac:dyDescent="0.25">
      <c r="A59" s="16"/>
      <c r="B59" s="17" t="s">
        <v>193</v>
      </c>
      <c r="C59" s="18"/>
      <c r="D59" s="18"/>
      <c r="E59" s="18"/>
      <c r="H59" s="16"/>
      <c r="I59" s="17" t="s">
        <v>193</v>
      </c>
      <c r="J59" s="16"/>
      <c r="K59" s="16"/>
      <c r="L59" s="16"/>
    </row>
    <row r="60" spans="1:12" x14ac:dyDescent="0.25">
      <c r="A60" s="16"/>
      <c r="B60" s="17" t="s">
        <v>194</v>
      </c>
      <c r="C60" s="18">
        <v>-43</v>
      </c>
      <c r="D60" s="18">
        <v>-31</v>
      </c>
      <c r="E60" s="18">
        <v>-105</v>
      </c>
      <c r="H60" s="16"/>
      <c r="I60" s="17" t="s">
        <v>194</v>
      </c>
      <c r="J60" s="19">
        <v>-180</v>
      </c>
      <c r="K60" s="19">
        <v>58</v>
      </c>
      <c r="L60" s="19">
        <v>-30</v>
      </c>
    </row>
    <row r="61" spans="1:12" x14ac:dyDescent="0.25">
      <c r="A61" s="16"/>
      <c r="B61" s="17" t="s">
        <v>195</v>
      </c>
      <c r="C61" s="18"/>
      <c r="D61" s="18"/>
      <c r="E61" s="18"/>
      <c r="H61" s="16"/>
      <c r="I61" s="17" t="s">
        <v>207</v>
      </c>
      <c r="J61" s="16"/>
      <c r="K61" s="16"/>
      <c r="L61" s="16"/>
    </row>
    <row r="62" spans="1:12" x14ac:dyDescent="0.25">
      <c r="A62" s="16"/>
      <c r="B62" s="17" t="s">
        <v>196</v>
      </c>
      <c r="C62" s="18">
        <v>68</v>
      </c>
      <c r="D62" s="18">
        <v>-2785</v>
      </c>
      <c r="E62" s="18">
        <v>3048</v>
      </c>
      <c r="H62" s="16"/>
      <c r="I62" s="17" t="s">
        <v>196</v>
      </c>
      <c r="J62" s="19">
        <v>-1363</v>
      </c>
      <c r="K62" s="19">
        <v>-1870</v>
      </c>
      <c r="L62" s="19">
        <v>40</v>
      </c>
    </row>
    <row r="63" spans="1:12" x14ac:dyDescent="0.25">
      <c r="A63" s="16"/>
      <c r="B63" s="17" t="s">
        <v>197</v>
      </c>
      <c r="C63" s="18"/>
      <c r="D63" s="18"/>
      <c r="E63" s="18"/>
      <c r="H63" s="16"/>
      <c r="I63" s="17" t="s">
        <v>197</v>
      </c>
      <c r="J63" s="16"/>
      <c r="K63" s="16"/>
      <c r="L63" s="16"/>
    </row>
    <row r="64" spans="1:12" x14ac:dyDescent="0.25">
      <c r="A64" s="16"/>
      <c r="B64" s="17" t="s">
        <v>198</v>
      </c>
      <c r="C64" s="18">
        <v>8842</v>
      </c>
      <c r="D64" s="18">
        <v>11627</v>
      </c>
      <c r="E64" s="18">
        <v>8579</v>
      </c>
      <c r="H64" s="16"/>
      <c r="I64" s="17" t="s">
        <v>198</v>
      </c>
      <c r="J64" s="19">
        <v>9942</v>
      </c>
      <c r="K64" s="19">
        <v>11812</v>
      </c>
      <c r="L64" s="19">
        <v>11772</v>
      </c>
    </row>
    <row r="65" spans="1:12" x14ac:dyDescent="0.25">
      <c r="A65" s="16"/>
      <c r="B65" s="17" t="s">
        <v>197</v>
      </c>
      <c r="C65" s="18"/>
      <c r="D65" s="18"/>
      <c r="E65" s="18"/>
      <c r="H65" s="16"/>
      <c r="I65" s="17" t="s">
        <v>197</v>
      </c>
      <c r="J65" s="16"/>
      <c r="K65" s="16"/>
      <c r="L65" s="16"/>
    </row>
    <row r="66" spans="1:12" x14ac:dyDescent="0.25">
      <c r="A66" s="16"/>
      <c r="B66" s="17" t="s">
        <v>199</v>
      </c>
      <c r="C66" s="18">
        <v>8910</v>
      </c>
      <c r="D66" s="18">
        <v>8842</v>
      </c>
      <c r="E66" s="18">
        <v>11627</v>
      </c>
      <c r="H66" s="16"/>
      <c r="I66" s="17" t="s">
        <v>199</v>
      </c>
      <c r="J66" s="18">
        <v>8579</v>
      </c>
      <c r="K66" s="18">
        <v>9942</v>
      </c>
      <c r="L66" s="18">
        <v>11812</v>
      </c>
    </row>
    <row r="67" spans="1:12" x14ac:dyDescent="0.25">
      <c r="A67" s="16"/>
      <c r="B67" s="17"/>
      <c r="C67" s="18"/>
      <c r="D67" s="18"/>
      <c r="E67" s="18"/>
      <c r="H67" s="16"/>
      <c r="I67" s="16"/>
      <c r="J67" s="16"/>
      <c r="K67" s="16"/>
      <c r="L67" s="16"/>
    </row>
    <row r="68" spans="1:12" x14ac:dyDescent="0.25">
      <c r="A68" s="16"/>
      <c r="B68" s="17" t="s">
        <v>200</v>
      </c>
      <c r="C68" s="18"/>
      <c r="D68" s="18"/>
      <c r="E68" s="18"/>
      <c r="H68" s="16"/>
      <c r="I68" s="17" t="s">
        <v>200</v>
      </c>
      <c r="J68" s="16"/>
      <c r="K68" s="16"/>
      <c r="L68" s="16"/>
    </row>
    <row r="69" spans="1:12" x14ac:dyDescent="0.25">
      <c r="A69" s="16"/>
      <c r="B69" s="17" t="s">
        <v>201</v>
      </c>
      <c r="C69" s="18">
        <v>1500</v>
      </c>
      <c r="D69" s="18">
        <v>583</v>
      </c>
      <c r="E69" s="18">
        <v>376</v>
      </c>
      <c r="H69" s="16"/>
      <c r="I69" s="17" t="s">
        <v>201</v>
      </c>
      <c r="J69" s="18">
        <v>355</v>
      </c>
      <c r="K69" s="18">
        <v>438</v>
      </c>
      <c r="L69" s="18">
        <v>603</v>
      </c>
    </row>
    <row r="70" spans="1:12" x14ac:dyDescent="0.25">
      <c r="A70" s="16"/>
      <c r="B70" s="17" t="s">
        <v>202</v>
      </c>
      <c r="C70" s="18">
        <v>3892</v>
      </c>
      <c r="D70" s="18">
        <v>7426</v>
      </c>
      <c r="E70" s="18">
        <v>3571</v>
      </c>
      <c r="H70" s="16"/>
      <c r="I70" s="17" t="s">
        <v>202</v>
      </c>
      <c r="J70" s="18">
        <v>3663</v>
      </c>
      <c r="K70" s="18">
        <v>3604</v>
      </c>
      <c r="L70" s="18">
        <v>3116</v>
      </c>
    </row>
    <row r="71" spans="1:12" x14ac:dyDescent="0.25">
      <c r="A71" s="16"/>
      <c r="B71" s="17"/>
      <c r="C71" s="18"/>
      <c r="D71" s="18"/>
      <c r="E71" s="18"/>
      <c r="H71" s="16"/>
      <c r="I71" s="17"/>
      <c r="J71" s="16"/>
      <c r="K71" s="16"/>
      <c r="L71" s="16"/>
    </row>
    <row r="72" spans="1:12" x14ac:dyDescent="0.25">
      <c r="A72" s="16"/>
      <c r="B72" s="17"/>
      <c r="C72" s="18"/>
      <c r="D72" s="18"/>
      <c r="E72" s="18"/>
      <c r="H72" s="16"/>
      <c r="I72" s="17"/>
      <c r="J72" s="16"/>
      <c r="K72" s="16"/>
      <c r="L72" s="16"/>
    </row>
    <row r="73" spans="1:12" x14ac:dyDescent="0.25">
      <c r="A73" s="16"/>
      <c r="B73" s="17"/>
      <c r="C73" s="18"/>
      <c r="D73" s="18"/>
      <c r="E73" s="18"/>
      <c r="H73" s="16"/>
      <c r="I73" s="17"/>
      <c r="J73" s="16"/>
      <c r="K73" s="16"/>
      <c r="L73" s="16"/>
    </row>
    <row r="74" spans="1:12" x14ac:dyDescent="0.25">
      <c r="A74" s="16"/>
      <c r="B74" s="17"/>
      <c r="C74" s="18"/>
      <c r="D74" s="18"/>
      <c r="E74" s="18"/>
      <c r="H74" s="16"/>
      <c r="I74" s="16"/>
      <c r="J74" s="16"/>
      <c r="K74" s="16"/>
      <c r="L74" s="16"/>
    </row>
  </sheetData>
  <mergeCells count="2">
    <mergeCell ref="H1:L1"/>
    <mergeCell ref="A1:E1"/>
  </mergeCell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590C-12C9-4875-945E-74DD7DB91EF9}">
  <dimension ref="A1:L45"/>
  <sheetViews>
    <sheetView topLeftCell="C26" workbookViewId="0">
      <selection activeCell="F46" sqref="F46"/>
    </sheetView>
  </sheetViews>
  <sheetFormatPr defaultRowHeight="15" x14ac:dyDescent="0.25"/>
  <cols>
    <col min="1" max="1" width="11.7109375" customWidth="1"/>
    <col min="2" max="2" width="47.28515625" bestFit="1" customWidth="1"/>
    <col min="3" max="5" width="12" bestFit="1" customWidth="1"/>
    <col min="8" max="8" width="11.7109375" customWidth="1"/>
    <col min="9" max="9" width="47.28515625" bestFit="1" customWidth="1"/>
    <col min="10" max="12" width="12" bestFit="1" customWidth="1"/>
  </cols>
  <sheetData>
    <row r="1" spans="1:12" x14ac:dyDescent="0.25">
      <c r="A1" s="21" t="s">
        <v>139</v>
      </c>
      <c r="B1" s="16"/>
      <c r="C1" s="16"/>
      <c r="D1" s="16"/>
      <c r="E1" s="16"/>
      <c r="H1" s="21" t="s">
        <v>140</v>
      </c>
      <c r="I1" s="16"/>
      <c r="J1" s="16"/>
      <c r="K1" s="16"/>
      <c r="L1" s="16"/>
    </row>
    <row r="2" spans="1:12" x14ac:dyDescent="0.25">
      <c r="A2" s="21" t="s">
        <v>42</v>
      </c>
      <c r="B2" s="16"/>
      <c r="C2" s="16"/>
      <c r="D2" s="16"/>
      <c r="E2" s="16"/>
      <c r="H2" s="21" t="s">
        <v>42</v>
      </c>
      <c r="I2" s="16"/>
      <c r="J2" s="16"/>
      <c r="K2" s="16"/>
      <c r="L2" s="16"/>
    </row>
    <row r="3" spans="1:12" x14ac:dyDescent="0.25">
      <c r="A3" s="21" t="s">
        <v>43</v>
      </c>
      <c r="B3" s="16"/>
      <c r="C3" s="16"/>
      <c r="D3" s="16"/>
      <c r="E3" s="16"/>
      <c r="H3" s="21" t="s">
        <v>43</v>
      </c>
      <c r="I3" s="16"/>
      <c r="J3" s="16"/>
      <c r="K3" s="16"/>
      <c r="L3" s="16"/>
    </row>
    <row r="4" spans="1:12" x14ac:dyDescent="0.25">
      <c r="A4" s="21" t="s">
        <v>108</v>
      </c>
      <c r="B4" s="16"/>
      <c r="C4" s="16"/>
      <c r="D4" s="16"/>
      <c r="E4" s="16"/>
      <c r="H4" s="21" t="s">
        <v>108</v>
      </c>
      <c r="I4" s="16"/>
      <c r="J4" s="16"/>
      <c r="K4" s="16"/>
      <c r="L4" s="16"/>
    </row>
    <row r="5" spans="1:12" x14ac:dyDescent="0.25">
      <c r="A5" s="21" t="s">
        <v>45</v>
      </c>
      <c r="B5" s="16"/>
      <c r="C5" s="16"/>
      <c r="D5" s="16"/>
      <c r="E5" s="16"/>
      <c r="H5" s="21" t="s">
        <v>45</v>
      </c>
      <c r="I5" s="16"/>
      <c r="J5" s="16"/>
      <c r="K5" s="16"/>
      <c r="L5" s="16"/>
    </row>
    <row r="6" spans="1:12" x14ac:dyDescent="0.25">
      <c r="A6" s="21" t="s">
        <v>46</v>
      </c>
      <c r="B6" s="16"/>
      <c r="C6" s="16"/>
      <c r="D6" s="16"/>
      <c r="E6" s="16"/>
      <c r="H6" s="21" t="s">
        <v>137</v>
      </c>
      <c r="I6" s="16"/>
      <c r="J6" s="16"/>
      <c r="K6" s="16"/>
      <c r="L6" s="16"/>
    </row>
    <row r="7" spans="1:12" x14ac:dyDescent="0.25">
      <c r="A7" s="21" t="s">
        <v>47</v>
      </c>
      <c r="B7" s="16"/>
      <c r="C7" s="16"/>
      <c r="D7" s="16"/>
      <c r="E7" s="16"/>
      <c r="H7" s="21" t="s">
        <v>138</v>
      </c>
      <c r="I7" s="16"/>
      <c r="J7" s="16"/>
      <c r="K7" s="16"/>
      <c r="L7" s="16"/>
    </row>
    <row r="8" spans="1:12" x14ac:dyDescent="0.25">
      <c r="A8" s="22"/>
      <c r="B8" s="16"/>
      <c r="C8" s="16"/>
      <c r="D8" s="16"/>
      <c r="E8" s="16"/>
      <c r="H8" s="22"/>
      <c r="I8" s="16"/>
      <c r="J8" s="16"/>
      <c r="K8" s="16"/>
      <c r="L8" s="16"/>
    </row>
    <row r="9" spans="1:12" x14ac:dyDescent="0.25">
      <c r="A9" s="21" t="s">
        <v>42</v>
      </c>
      <c r="B9" s="16"/>
      <c r="C9" s="16"/>
      <c r="D9" s="16"/>
      <c r="E9" s="16"/>
      <c r="H9" s="21" t="s">
        <v>42</v>
      </c>
      <c r="I9" s="16"/>
      <c r="J9" s="16"/>
      <c r="K9" s="16"/>
      <c r="L9" s="16"/>
    </row>
    <row r="10" spans="1:12" x14ac:dyDescent="0.25">
      <c r="A10" s="16"/>
      <c r="B10" s="17"/>
      <c r="C10" s="16"/>
      <c r="D10" s="16"/>
      <c r="E10" s="16"/>
      <c r="H10" s="16"/>
      <c r="I10" s="17"/>
      <c r="J10" s="16"/>
      <c r="K10" s="16"/>
      <c r="L10" s="16"/>
    </row>
    <row r="11" spans="1:12" x14ac:dyDescent="0.25">
      <c r="A11" s="16"/>
      <c r="B11" s="17"/>
      <c r="C11" s="16"/>
      <c r="D11" s="16"/>
      <c r="E11" s="16"/>
      <c r="H11" s="16"/>
      <c r="I11" s="17"/>
      <c r="J11" s="16"/>
      <c r="K11" s="16"/>
      <c r="L11" s="16"/>
    </row>
    <row r="12" spans="1:12" x14ac:dyDescent="0.25">
      <c r="A12" s="16"/>
      <c r="B12" s="17"/>
      <c r="C12" s="16"/>
      <c r="D12" s="16"/>
      <c r="E12" s="16"/>
      <c r="H12" s="16"/>
      <c r="I12" s="17"/>
      <c r="J12" s="16"/>
      <c r="K12" s="16"/>
      <c r="L12" s="16"/>
    </row>
    <row r="13" spans="1:12" x14ac:dyDescent="0.25">
      <c r="A13" s="16"/>
      <c r="B13" s="16"/>
      <c r="C13" s="16"/>
      <c r="D13" s="16"/>
      <c r="E13" s="16"/>
      <c r="H13" s="16"/>
      <c r="I13" s="16"/>
      <c r="J13" s="16"/>
      <c r="K13" s="16"/>
      <c r="L13" s="16"/>
    </row>
    <row r="14" spans="1:12" x14ac:dyDescent="0.25">
      <c r="A14" s="16"/>
      <c r="B14" s="17" t="s">
        <v>109</v>
      </c>
      <c r="C14" s="23" t="s">
        <v>48</v>
      </c>
      <c r="D14" s="23" t="s">
        <v>49</v>
      </c>
      <c r="E14" s="23" t="s">
        <v>92</v>
      </c>
      <c r="H14" s="16"/>
      <c r="I14" s="17" t="s">
        <v>109</v>
      </c>
      <c r="J14" s="23" t="s">
        <v>93</v>
      </c>
      <c r="K14" s="23" t="s">
        <v>100</v>
      </c>
      <c r="L14" s="23" t="s">
        <v>101</v>
      </c>
    </row>
    <row r="15" spans="1:12" x14ac:dyDescent="0.25">
      <c r="A15" s="16"/>
      <c r="B15" s="23" t="s">
        <v>110</v>
      </c>
      <c r="C15" s="16"/>
      <c r="D15" s="16"/>
      <c r="E15" s="16"/>
      <c r="H15" s="16"/>
      <c r="I15" s="23" t="s">
        <v>110</v>
      </c>
      <c r="J15" s="16"/>
      <c r="K15" s="16"/>
      <c r="L15" s="16"/>
    </row>
    <row r="16" spans="1:12" x14ac:dyDescent="0.25">
      <c r="A16" s="16"/>
      <c r="B16" s="17" t="s">
        <v>111</v>
      </c>
      <c r="C16" s="18">
        <v>41608</v>
      </c>
      <c r="D16" s="18">
        <v>39253</v>
      </c>
      <c r="E16" s="18">
        <v>43142</v>
      </c>
      <c r="H16" s="16"/>
      <c r="I16" s="17" t="s">
        <v>111</v>
      </c>
      <c r="J16" s="18">
        <v>38018</v>
      </c>
      <c r="K16" s="18">
        <v>36014</v>
      </c>
      <c r="L16" s="18">
        <v>35978</v>
      </c>
    </row>
    <row r="17" spans="1:12" x14ac:dyDescent="0.25">
      <c r="A17" s="16"/>
      <c r="B17" s="17" t="s">
        <v>112</v>
      </c>
      <c r="C17" s="19">
        <v>15046</v>
      </c>
      <c r="D17" s="19">
        <v>14550</v>
      </c>
      <c r="E17" s="19">
        <v>13856</v>
      </c>
      <c r="H17" s="16"/>
      <c r="I17" s="17" t="s">
        <v>136</v>
      </c>
      <c r="J17" s="19">
        <v>13539</v>
      </c>
      <c r="K17" s="19">
        <v>13804</v>
      </c>
      <c r="L17" s="19">
        <v>13323</v>
      </c>
    </row>
    <row r="18" spans="1:12" x14ac:dyDescent="0.25">
      <c r="A18" s="16"/>
      <c r="B18" s="23" t="s">
        <v>113</v>
      </c>
      <c r="C18" s="26">
        <v>56654</v>
      </c>
      <c r="D18" s="26">
        <v>53803</v>
      </c>
      <c r="E18" s="26">
        <v>56998</v>
      </c>
      <c r="H18" s="16"/>
      <c r="I18" s="23" t="s">
        <v>113</v>
      </c>
      <c r="J18" s="26">
        <v>51557</v>
      </c>
      <c r="K18" s="26">
        <v>49818</v>
      </c>
      <c r="L18" s="26">
        <v>49301</v>
      </c>
    </row>
    <row r="19" spans="1:12" x14ac:dyDescent="0.25">
      <c r="A19" s="16"/>
      <c r="B19" s="23" t="s">
        <v>114</v>
      </c>
      <c r="C19" s="16"/>
      <c r="D19" s="16"/>
      <c r="E19" s="16"/>
      <c r="H19" s="16"/>
      <c r="I19" s="23" t="s">
        <v>114</v>
      </c>
      <c r="J19" s="16"/>
      <c r="K19" s="16"/>
      <c r="L19" s="16"/>
    </row>
    <row r="20" spans="1:12" x14ac:dyDescent="0.25">
      <c r="A20" s="16"/>
      <c r="B20" s="17" t="s">
        <v>111</v>
      </c>
      <c r="C20" s="19">
        <v>15121</v>
      </c>
      <c r="D20" s="19">
        <v>14339</v>
      </c>
      <c r="E20" s="19">
        <v>16590</v>
      </c>
      <c r="H20" s="16"/>
      <c r="I20" s="17" t="s">
        <v>111</v>
      </c>
      <c r="J20" s="19">
        <v>14814</v>
      </c>
      <c r="K20" s="19">
        <v>13300</v>
      </c>
      <c r="L20" s="19">
        <v>13199</v>
      </c>
    </row>
    <row r="21" spans="1:12" x14ac:dyDescent="0.25">
      <c r="A21" s="16"/>
      <c r="B21" s="17" t="s">
        <v>112</v>
      </c>
      <c r="C21" s="19">
        <v>4743</v>
      </c>
      <c r="D21" s="19">
        <v>4636</v>
      </c>
      <c r="E21" s="19">
        <v>4655</v>
      </c>
      <c r="H21" s="16"/>
      <c r="I21" s="17" t="s">
        <v>136</v>
      </c>
      <c r="J21" s="19">
        <v>4495</v>
      </c>
      <c r="K21" s="19">
        <v>4624</v>
      </c>
      <c r="L21" s="19">
        <v>4419</v>
      </c>
    </row>
    <row r="22" spans="1:12" x14ac:dyDescent="0.25">
      <c r="A22" s="16"/>
      <c r="B22" s="23" t="s">
        <v>115</v>
      </c>
      <c r="C22" s="26">
        <v>19864</v>
      </c>
      <c r="D22" s="26">
        <v>18975</v>
      </c>
      <c r="E22" s="26">
        <v>21245</v>
      </c>
      <c r="H22" s="16"/>
      <c r="I22" s="23" t="s">
        <v>115</v>
      </c>
      <c r="J22" s="26">
        <v>19309</v>
      </c>
      <c r="K22" s="26">
        <v>17924</v>
      </c>
      <c r="L22" s="26">
        <v>17618</v>
      </c>
    </row>
    <row r="23" spans="1:12" x14ac:dyDescent="0.25">
      <c r="A23" s="16"/>
      <c r="B23" s="23" t="s">
        <v>116</v>
      </c>
      <c r="C23" s="26">
        <v>36790</v>
      </c>
      <c r="D23" s="26">
        <v>34828</v>
      </c>
      <c r="E23" s="26">
        <v>35753</v>
      </c>
      <c r="H23" s="16"/>
      <c r="I23" s="23" t="s">
        <v>116</v>
      </c>
      <c r="J23" s="26">
        <v>32248</v>
      </c>
      <c r="K23" s="26">
        <v>31894</v>
      </c>
      <c r="L23" s="26">
        <v>31683</v>
      </c>
    </row>
    <row r="24" spans="1:12" x14ac:dyDescent="0.25">
      <c r="A24" s="16"/>
      <c r="B24" s="23" t="s">
        <v>117</v>
      </c>
      <c r="C24" s="16"/>
      <c r="D24" s="16"/>
      <c r="E24" s="16"/>
      <c r="H24" s="16"/>
      <c r="I24" s="23" t="s">
        <v>117</v>
      </c>
      <c r="J24" s="16"/>
      <c r="K24" s="16"/>
      <c r="L24" s="16"/>
    </row>
    <row r="25" spans="1:12" x14ac:dyDescent="0.25">
      <c r="A25" s="16"/>
      <c r="B25" s="17" t="s">
        <v>118</v>
      </c>
      <c r="C25" s="19">
        <v>9300</v>
      </c>
      <c r="D25" s="19">
        <v>7983</v>
      </c>
      <c r="E25" s="19">
        <v>7551</v>
      </c>
      <c r="H25" s="16"/>
      <c r="I25" s="17" t="s">
        <v>118</v>
      </c>
      <c r="J25" s="19">
        <v>6774</v>
      </c>
      <c r="K25" s="19">
        <v>6549</v>
      </c>
      <c r="L25" s="19">
        <v>6347</v>
      </c>
    </row>
    <row r="26" spans="1:12" x14ac:dyDescent="0.25">
      <c r="A26" s="16"/>
      <c r="B26" s="17" t="s">
        <v>119</v>
      </c>
      <c r="C26" s="19">
        <v>10966</v>
      </c>
      <c r="D26" s="19">
        <v>10364</v>
      </c>
      <c r="E26" s="19">
        <v>9880</v>
      </c>
      <c r="H26" s="16"/>
      <c r="I26" s="17" t="s">
        <v>119</v>
      </c>
      <c r="J26" s="19">
        <v>9085</v>
      </c>
      <c r="K26" s="19">
        <v>9259</v>
      </c>
      <c r="L26" s="19">
        <v>9169</v>
      </c>
    </row>
    <row r="27" spans="1:12" x14ac:dyDescent="0.25">
      <c r="A27" s="16"/>
      <c r="B27" s="17" t="s">
        <v>120</v>
      </c>
      <c r="C27" s="19">
        <v>2992</v>
      </c>
      <c r="D27" s="19">
        <v>2813</v>
      </c>
      <c r="E27" s="19">
        <v>2478</v>
      </c>
      <c r="H27" s="16"/>
      <c r="I27" s="17" t="s">
        <v>120</v>
      </c>
      <c r="J27" s="19">
        <v>2101</v>
      </c>
      <c r="K27" s="19">
        <v>2152</v>
      </c>
      <c r="L27" s="19">
        <v>1925</v>
      </c>
    </row>
    <row r="28" spans="1:12" x14ac:dyDescent="0.25">
      <c r="A28" s="16"/>
      <c r="B28" s="17" t="s">
        <v>121</v>
      </c>
      <c r="C28" s="19">
        <v>1028</v>
      </c>
      <c r="D28" s="19">
        <v>698</v>
      </c>
      <c r="E28" s="19">
        <v>282</v>
      </c>
      <c r="H28" s="16"/>
      <c r="I28" s="17" t="s">
        <v>121</v>
      </c>
      <c r="J28" s="19">
        <v>313</v>
      </c>
      <c r="K28" s="19">
        <v>215</v>
      </c>
      <c r="L28" s="19">
        <v>141</v>
      </c>
    </row>
    <row r="29" spans="1:12" x14ac:dyDescent="0.25">
      <c r="A29" s="16"/>
      <c r="B29" s="17" t="s">
        <v>122</v>
      </c>
      <c r="C29" s="19">
        <v>744</v>
      </c>
      <c r="D29" s="19">
        <v>789</v>
      </c>
      <c r="E29" s="19">
        <v>531</v>
      </c>
      <c r="H29" s="16"/>
      <c r="I29" s="17" t="s">
        <v>122</v>
      </c>
      <c r="J29" s="19">
        <v>6</v>
      </c>
      <c r="K29" s="19">
        <v>886</v>
      </c>
      <c r="L29" s="19">
        <v>481</v>
      </c>
    </row>
    <row r="30" spans="1:12" x14ac:dyDescent="0.25">
      <c r="A30" s="16"/>
      <c r="B30" s="23" t="s">
        <v>123</v>
      </c>
      <c r="C30" s="26">
        <v>25030</v>
      </c>
      <c r="D30" s="26">
        <v>22647</v>
      </c>
      <c r="E30" s="26">
        <v>20722</v>
      </c>
      <c r="H30" s="16"/>
      <c r="I30" s="23" t="s">
        <v>123</v>
      </c>
      <c r="J30" s="26">
        <v>18279</v>
      </c>
      <c r="K30" s="26">
        <v>19061</v>
      </c>
      <c r="L30" s="26">
        <v>18063</v>
      </c>
    </row>
    <row r="31" spans="1:12" x14ac:dyDescent="0.25">
      <c r="A31" s="16"/>
      <c r="B31" s="23" t="s">
        <v>124</v>
      </c>
      <c r="C31" s="26">
        <v>11760</v>
      </c>
      <c r="D31" s="26">
        <v>12181</v>
      </c>
      <c r="E31" s="26">
        <v>15031</v>
      </c>
      <c r="H31" s="16"/>
      <c r="I31" s="23" t="s">
        <v>124</v>
      </c>
      <c r="J31" s="26">
        <v>13969</v>
      </c>
      <c r="K31" s="26">
        <v>12833</v>
      </c>
      <c r="L31" s="26">
        <v>13620</v>
      </c>
    </row>
    <row r="32" spans="1:12" x14ac:dyDescent="0.25">
      <c r="A32" s="16"/>
      <c r="B32" s="17" t="s">
        <v>125</v>
      </c>
      <c r="C32" s="19">
        <v>1001</v>
      </c>
      <c r="D32" s="19">
        <v>1365</v>
      </c>
      <c r="E32" s="19">
        <v>962</v>
      </c>
      <c r="H32" s="16"/>
      <c r="I32" s="17" t="s">
        <v>125</v>
      </c>
      <c r="J32" s="19">
        <v>476</v>
      </c>
      <c r="K32" s="19">
        <v>618</v>
      </c>
      <c r="L32" s="19">
        <v>920</v>
      </c>
    </row>
    <row r="33" spans="1:12" s="38" customFormat="1" x14ac:dyDescent="0.25">
      <c r="A33" s="41"/>
      <c r="B33" s="23" t="s">
        <v>126</v>
      </c>
      <c r="C33" s="26">
        <v>-1593</v>
      </c>
      <c r="D33" s="26">
        <v>-1006</v>
      </c>
      <c r="E33" s="26">
        <v>-427</v>
      </c>
      <c r="H33" s="41"/>
      <c r="I33" s="23" t="s">
        <v>126</v>
      </c>
      <c r="J33" s="26">
        <v>-360</v>
      </c>
      <c r="K33" s="26">
        <v>-434</v>
      </c>
      <c r="L33" s="26">
        <v>-585</v>
      </c>
    </row>
    <row r="34" spans="1:12" x14ac:dyDescent="0.25">
      <c r="A34" s="16"/>
      <c r="B34" s="17" t="s">
        <v>127</v>
      </c>
      <c r="C34" s="19">
        <v>-68</v>
      </c>
      <c r="D34" s="19">
        <v>-306</v>
      </c>
      <c r="E34" s="19">
        <v>-248</v>
      </c>
      <c r="H34" s="16"/>
      <c r="I34" s="17" t="s">
        <v>127</v>
      </c>
      <c r="J34" s="19">
        <v>392</v>
      </c>
      <c r="K34" s="19">
        <v>245</v>
      </c>
      <c r="L34" s="19">
        <v>15</v>
      </c>
    </row>
    <row r="35" spans="1:12" x14ac:dyDescent="0.25">
      <c r="A35" s="16"/>
      <c r="B35" s="17" t="s">
        <v>128</v>
      </c>
      <c r="C35" s="19">
        <v>-660</v>
      </c>
      <c r="D35" s="19">
        <v>53</v>
      </c>
      <c r="E35" s="19">
        <v>287</v>
      </c>
      <c r="H35" s="16"/>
      <c r="I35" s="17" t="s">
        <v>128</v>
      </c>
      <c r="J35" s="19">
        <v>508</v>
      </c>
      <c r="K35" s="19">
        <v>429</v>
      </c>
      <c r="L35" s="19">
        <v>350</v>
      </c>
    </row>
    <row r="36" spans="1:12" x14ac:dyDescent="0.25">
      <c r="A36" s="16"/>
      <c r="B36" s="23" t="s">
        <v>129</v>
      </c>
      <c r="C36" s="26">
        <v>11100</v>
      </c>
      <c r="D36" s="26">
        <v>12234</v>
      </c>
      <c r="E36" s="26">
        <v>15318</v>
      </c>
      <c r="H36" s="16"/>
      <c r="I36" s="23" t="s">
        <v>129</v>
      </c>
      <c r="J36" s="26">
        <v>14477</v>
      </c>
      <c r="K36" s="26">
        <v>13262</v>
      </c>
      <c r="L36" s="26">
        <v>13970</v>
      </c>
    </row>
    <row r="37" spans="1:12" x14ac:dyDescent="0.25">
      <c r="A37" s="16"/>
      <c r="B37" s="17" t="s">
        <v>130</v>
      </c>
      <c r="C37" s="19">
        <v>920</v>
      </c>
      <c r="D37" s="19">
        <v>1914</v>
      </c>
      <c r="E37" s="19">
        <v>2705</v>
      </c>
      <c r="H37" s="16"/>
      <c r="I37" s="17" t="s">
        <v>130</v>
      </c>
      <c r="J37" s="19">
        <v>2665</v>
      </c>
      <c r="K37" s="19">
        <v>2671</v>
      </c>
      <c r="L37" s="19">
        <v>2756</v>
      </c>
    </row>
    <row r="38" spans="1:12" x14ac:dyDescent="0.25">
      <c r="A38" s="16"/>
      <c r="B38" s="23" t="s">
        <v>131</v>
      </c>
      <c r="C38" s="25">
        <v>10180</v>
      </c>
      <c r="D38" s="25">
        <v>10320</v>
      </c>
      <c r="E38" s="25">
        <v>12613</v>
      </c>
      <c r="H38" s="16"/>
      <c r="I38" s="23" t="s">
        <v>131</v>
      </c>
      <c r="J38" s="25">
        <v>11812</v>
      </c>
      <c r="K38" s="25">
        <v>10591</v>
      </c>
      <c r="L38" s="25">
        <v>11214</v>
      </c>
    </row>
    <row r="39" spans="1:12" x14ac:dyDescent="0.25">
      <c r="A39" s="16"/>
      <c r="B39" s="16"/>
      <c r="C39" s="16"/>
      <c r="D39" s="16"/>
      <c r="E39" s="16"/>
      <c r="H39" s="16"/>
      <c r="I39" s="16"/>
      <c r="J39" s="16"/>
      <c r="K39" s="16"/>
      <c r="L39" s="16"/>
    </row>
    <row r="40" spans="1:12" x14ac:dyDescent="0.25">
      <c r="A40" s="16"/>
      <c r="B40" s="23" t="s">
        <v>132</v>
      </c>
      <c r="C40" s="16"/>
      <c r="D40" s="16"/>
      <c r="E40" s="16"/>
      <c r="H40" s="16"/>
      <c r="I40" s="23" t="s">
        <v>132</v>
      </c>
      <c r="J40" s="16"/>
      <c r="K40" s="16"/>
      <c r="L40" s="16"/>
    </row>
    <row r="41" spans="1:12" x14ac:dyDescent="0.25">
      <c r="A41" s="16"/>
      <c r="B41" s="17" t="s">
        <v>133</v>
      </c>
      <c r="C41" s="27">
        <v>2.56</v>
      </c>
      <c r="D41" s="27">
        <v>2.5499999999999998</v>
      </c>
      <c r="E41" s="27">
        <v>3.08</v>
      </c>
      <c r="H41" s="16"/>
      <c r="I41" s="17" t="s">
        <v>133</v>
      </c>
      <c r="J41" s="27">
        <v>2.83</v>
      </c>
      <c r="K41" s="27">
        <v>2.5099999999999998</v>
      </c>
      <c r="L41" s="27">
        <v>2.65</v>
      </c>
    </row>
    <row r="42" spans="1:12" x14ac:dyDescent="0.25">
      <c r="A42" s="16"/>
      <c r="B42" s="17" t="s">
        <v>134</v>
      </c>
      <c r="C42" s="27">
        <v>2.5499999999999998</v>
      </c>
      <c r="D42" s="27">
        <v>2.54</v>
      </c>
      <c r="E42" s="27">
        <v>3.07</v>
      </c>
      <c r="H42" s="16"/>
      <c r="I42" s="17" t="s">
        <v>134</v>
      </c>
      <c r="J42" s="27">
        <v>2.82</v>
      </c>
      <c r="K42" s="27">
        <v>2.5</v>
      </c>
      <c r="L42" s="27">
        <v>2.64</v>
      </c>
    </row>
    <row r="43" spans="1:12" x14ac:dyDescent="0.25">
      <c r="A43" s="16"/>
      <c r="B43" s="23" t="s">
        <v>135</v>
      </c>
      <c r="C43" s="16"/>
      <c r="D43" s="16"/>
      <c r="E43" s="16"/>
      <c r="H43" s="16"/>
      <c r="I43" s="23" t="s">
        <v>135</v>
      </c>
      <c r="J43" s="16"/>
      <c r="K43" s="16"/>
      <c r="L43" s="16"/>
    </row>
    <row r="44" spans="1:12" x14ac:dyDescent="0.25">
      <c r="A44" s="16"/>
      <c r="B44" s="17" t="s">
        <v>133</v>
      </c>
      <c r="C44" s="19">
        <v>3976</v>
      </c>
      <c r="D44" s="19">
        <v>4043</v>
      </c>
      <c r="E44" s="19">
        <v>4093</v>
      </c>
      <c r="H44" s="16"/>
      <c r="I44" s="17" t="s">
        <v>133</v>
      </c>
      <c r="J44" s="19">
        <v>4170</v>
      </c>
      <c r="K44" s="19">
        <v>4222</v>
      </c>
      <c r="L44" s="19">
        <v>4236</v>
      </c>
    </row>
    <row r="45" spans="1:12" x14ac:dyDescent="0.25">
      <c r="A45" s="16"/>
      <c r="B45" s="17" t="s">
        <v>134</v>
      </c>
      <c r="C45" s="19">
        <v>3998</v>
      </c>
      <c r="D45" s="19">
        <v>4062</v>
      </c>
      <c r="E45" s="19">
        <v>4105</v>
      </c>
      <c r="H45" s="16"/>
      <c r="I45" s="17" t="s">
        <v>134</v>
      </c>
      <c r="J45" s="19">
        <v>4192</v>
      </c>
      <c r="K45" s="19">
        <v>4236</v>
      </c>
      <c r="L45" s="19">
        <v>4254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B288-D9DA-4039-87CA-055B830E0657}">
  <dimension ref="A1:P58"/>
  <sheetViews>
    <sheetView topLeftCell="H37" workbookViewId="0">
      <selection sqref="A1:P52"/>
    </sheetView>
  </sheetViews>
  <sheetFormatPr defaultRowHeight="15" x14ac:dyDescent="0.25"/>
  <cols>
    <col min="1" max="1" width="55" customWidth="1"/>
    <col min="2" max="3" width="12.42578125" bestFit="1" customWidth="1"/>
    <col min="4" max="4" width="12" bestFit="1" customWidth="1"/>
    <col min="7" max="7" width="54.140625" bestFit="1" customWidth="1"/>
    <col min="8" max="9" width="12.42578125" bestFit="1" customWidth="1"/>
    <col min="10" max="10" width="12" bestFit="1" customWidth="1"/>
    <col min="13" max="13" width="54.140625" bestFit="1" customWidth="1"/>
    <col min="14" max="15" width="12.42578125" bestFit="1" customWidth="1"/>
    <col min="16" max="16" width="12" bestFit="1" customWidth="1"/>
  </cols>
  <sheetData>
    <row r="1" spans="1:16" x14ac:dyDescent="0.25">
      <c r="A1" s="250" t="s">
        <v>106</v>
      </c>
      <c r="B1" s="251"/>
      <c r="C1" s="251"/>
      <c r="D1" s="251"/>
      <c r="G1" s="250" t="s">
        <v>107</v>
      </c>
      <c r="H1" s="251"/>
      <c r="I1" s="251"/>
      <c r="J1" s="251"/>
      <c r="M1" s="250" t="s">
        <v>3775</v>
      </c>
      <c r="N1" s="251"/>
      <c r="O1" s="251"/>
      <c r="P1" s="251"/>
    </row>
    <row r="2" spans="1:16" x14ac:dyDescent="0.25">
      <c r="A2" s="21" t="s">
        <v>43</v>
      </c>
      <c r="B2" s="16"/>
      <c r="C2" s="16"/>
      <c r="D2" s="16"/>
      <c r="G2" s="21" t="s">
        <v>43</v>
      </c>
      <c r="H2" s="16"/>
      <c r="I2" s="16"/>
      <c r="J2" s="16"/>
      <c r="M2" s="21" t="s">
        <v>43</v>
      </c>
      <c r="N2" s="24"/>
      <c r="O2" s="24"/>
      <c r="P2" s="24"/>
    </row>
    <row r="3" spans="1:16" x14ac:dyDescent="0.25">
      <c r="A3" s="21" t="s">
        <v>44</v>
      </c>
      <c r="B3" s="16"/>
      <c r="C3" s="16"/>
      <c r="D3" s="16"/>
      <c r="G3" s="21" t="s">
        <v>44</v>
      </c>
      <c r="H3" s="16"/>
      <c r="I3" s="16"/>
      <c r="J3" s="16"/>
      <c r="M3" s="17" t="s">
        <v>44</v>
      </c>
      <c r="N3" s="16"/>
      <c r="O3" s="16"/>
      <c r="P3" s="16"/>
    </row>
    <row r="4" spans="1:16" x14ac:dyDescent="0.25">
      <c r="A4" s="21" t="s">
        <v>45</v>
      </c>
      <c r="B4" s="16"/>
      <c r="C4" s="16"/>
      <c r="D4" s="16"/>
      <c r="G4" s="21" t="s">
        <v>45</v>
      </c>
      <c r="H4" s="16"/>
      <c r="I4" s="16"/>
      <c r="J4" s="16"/>
      <c r="M4" s="17" t="s">
        <v>45</v>
      </c>
      <c r="N4" s="16"/>
      <c r="O4" s="16"/>
      <c r="P4" s="16"/>
    </row>
    <row r="5" spans="1:16" x14ac:dyDescent="0.25">
      <c r="A5" s="21" t="s">
        <v>46</v>
      </c>
      <c r="B5" s="16"/>
      <c r="C5" s="16"/>
      <c r="D5" s="16"/>
      <c r="G5" s="21" t="s">
        <v>90</v>
      </c>
      <c r="H5" s="16"/>
      <c r="I5" s="16"/>
      <c r="J5" s="16"/>
      <c r="M5" s="17" t="s">
        <v>98</v>
      </c>
      <c r="N5" s="16"/>
      <c r="O5" s="16"/>
      <c r="P5" s="16"/>
    </row>
    <row r="6" spans="1:16" x14ac:dyDescent="0.25">
      <c r="A6" s="21" t="s">
        <v>47</v>
      </c>
      <c r="B6" s="16"/>
      <c r="C6" s="16"/>
      <c r="D6" s="16"/>
      <c r="G6" s="21" t="s">
        <v>91</v>
      </c>
      <c r="H6" s="16"/>
      <c r="I6" s="16"/>
      <c r="J6" s="16"/>
      <c r="M6" s="17" t="s">
        <v>99</v>
      </c>
      <c r="N6" s="16"/>
      <c r="O6" s="16"/>
      <c r="P6" s="16"/>
    </row>
    <row r="7" spans="1:16" x14ac:dyDescent="0.25">
      <c r="A7" s="21"/>
      <c r="B7" s="16"/>
      <c r="C7" s="16"/>
      <c r="D7" s="16"/>
      <c r="M7" s="17"/>
      <c r="N7" s="16"/>
      <c r="O7" s="16"/>
      <c r="P7" s="16"/>
    </row>
    <row r="8" spans="1:16" x14ac:dyDescent="0.25">
      <c r="A8" s="21"/>
      <c r="B8" s="16"/>
      <c r="C8" s="16"/>
      <c r="D8" s="16"/>
    </row>
    <row r="9" spans="1:16" x14ac:dyDescent="0.25">
      <c r="A9" s="17" t="s">
        <v>42</v>
      </c>
      <c r="B9" s="23" t="s">
        <v>48</v>
      </c>
      <c r="C9" s="23" t="s">
        <v>49</v>
      </c>
      <c r="G9" s="17" t="s">
        <v>42</v>
      </c>
      <c r="H9" s="23" t="s">
        <v>92</v>
      </c>
      <c r="I9" s="23" t="s">
        <v>93</v>
      </c>
      <c r="M9" s="17" t="s">
        <v>42</v>
      </c>
      <c r="N9" s="23" t="s">
        <v>100</v>
      </c>
      <c r="O9" s="23" t="s">
        <v>101</v>
      </c>
    </row>
    <row r="10" spans="1:16" x14ac:dyDescent="0.25">
      <c r="A10" s="23" t="s">
        <v>50</v>
      </c>
      <c r="B10" s="16"/>
      <c r="C10" s="16"/>
      <c r="F10" s="16"/>
      <c r="G10" s="23" t="s">
        <v>50</v>
      </c>
      <c r="H10" s="16"/>
      <c r="I10" s="16"/>
      <c r="L10" s="16"/>
      <c r="M10" s="23" t="s">
        <v>50</v>
      </c>
      <c r="N10" s="16"/>
      <c r="O10" s="16"/>
    </row>
    <row r="11" spans="1:16" x14ac:dyDescent="0.25">
      <c r="A11" s="17" t="s">
        <v>51</v>
      </c>
      <c r="B11" s="16"/>
      <c r="C11" s="16"/>
      <c r="F11" s="16"/>
      <c r="G11" s="17" t="s">
        <v>51</v>
      </c>
      <c r="H11" s="16"/>
      <c r="I11" s="16"/>
      <c r="L11" s="16"/>
      <c r="M11" s="17" t="s">
        <v>51</v>
      </c>
      <c r="N11" s="16"/>
      <c r="O11" s="16"/>
    </row>
    <row r="12" spans="1:16" s="38" customFormat="1" x14ac:dyDescent="0.25">
      <c r="A12" s="23" t="s">
        <v>52</v>
      </c>
      <c r="B12" s="25">
        <v>8346</v>
      </c>
      <c r="C12" s="25">
        <v>7508</v>
      </c>
      <c r="F12" s="41"/>
      <c r="G12" s="23" t="s">
        <v>52</v>
      </c>
      <c r="H12" s="25">
        <v>10123</v>
      </c>
      <c r="I12" s="25">
        <v>7079</v>
      </c>
      <c r="L12" s="41"/>
      <c r="M12" s="23" t="s">
        <v>52</v>
      </c>
      <c r="N12" s="25">
        <v>9175</v>
      </c>
      <c r="O12" s="25">
        <v>11809</v>
      </c>
    </row>
    <row r="13" spans="1:16" x14ac:dyDescent="0.25">
      <c r="A13" s="17" t="s">
        <v>53</v>
      </c>
      <c r="B13" s="19">
        <v>7764</v>
      </c>
      <c r="C13" s="19">
        <v>10346</v>
      </c>
      <c r="F13" s="16"/>
      <c r="G13" s="17" t="s">
        <v>53</v>
      </c>
      <c r="H13" s="19">
        <v>16023</v>
      </c>
      <c r="I13" s="19">
        <v>12188</v>
      </c>
      <c r="L13" s="16"/>
      <c r="M13" s="17" t="s">
        <v>53</v>
      </c>
      <c r="N13" s="19">
        <v>15343</v>
      </c>
      <c r="O13" s="19">
        <v>17610</v>
      </c>
    </row>
    <row r="14" spans="1:16" x14ac:dyDescent="0.25">
      <c r="A14" s="17" t="s">
        <v>54</v>
      </c>
      <c r="B14" s="16"/>
      <c r="C14" s="16"/>
      <c r="F14" s="16"/>
      <c r="G14" s="17" t="s">
        <v>54</v>
      </c>
      <c r="H14" s="16"/>
      <c r="I14" s="16"/>
      <c r="L14" s="16"/>
      <c r="M14" s="17" t="s">
        <v>54</v>
      </c>
      <c r="N14" s="16"/>
      <c r="O14" s="16"/>
    </row>
    <row r="15" spans="1:16" x14ac:dyDescent="0.25">
      <c r="A15" s="17" t="s">
        <v>55</v>
      </c>
      <c r="B15" s="19">
        <v>6701</v>
      </c>
      <c r="C15" s="19">
        <v>6685</v>
      </c>
      <c r="F15" s="16"/>
      <c r="G15" s="17" t="s">
        <v>94</v>
      </c>
      <c r="H15" s="19">
        <v>5854</v>
      </c>
      <c r="I15" s="19">
        <v>6622</v>
      </c>
      <c r="L15" s="16"/>
      <c r="M15" s="17" t="s">
        <v>102</v>
      </c>
      <c r="N15" s="19">
        <v>5766</v>
      </c>
      <c r="O15" s="19">
        <v>5472</v>
      </c>
    </row>
    <row r="16" spans="1:16" x14ac:dyDescent="0.25">
      <c r="A16" s="23" t="s">
        <v>56</v>
      </c>
      <c r="B16" s="26">
        <v>3164</v>
      </c>
      <c r="C16" s="26">
        <v>3373</v>
      </c>
      <c r="F16" s="16"/>
      <c r="G16" s="23" t="s">
        <v>56</v>
      </c>
      <c r="H16" s="26">
        <v>3644</v>
      </c>
      <c r="I16" s="26">
        <v>2568</v>
      </c>
      <c r="J16" s="38"/>
      <c r="K16" s="38"/>
      <c r="L16" s="41"/>
      <c r="M16" s="23" t="s">
        <v>56</v>
      </c>
      <c r="N16" s="26">
        <v>1559</v>
      </c>
      <c r="O16" s="26">
        <v>1282</v>
      </c>
      <c r="P16" s="38"/>
    </row>
    <row r="17" spans="1:15" x14ac:dyDescent="0.25">
      <c r="A17" s="17" t="s">
        <v>57</v>
      </c>
      <c r="B17" s="19">
        <v>3061</v>
      </c>
      <c r="C17" s="19">
        <v>3338</v>
      </c>
      <c r="F17" s="16"/>
      <c r="G17" s="17" t="s">
        <v>57</v>
      </c>
      <c r="H17" s="19">
        <v>3352</v>
      </c>
      <c r="I17" s="19">
        <v>3905</v>
      </c>
      <c r="L17" s="16"/>
      <c r="M17" s="17" t="s">
        <v>57</v>
      </c>
      <c r="N17" s="19">
        <v>4380</v>
      </c>
      <c r="O17" s="19">
        <v>5051</v>
      </c>
    </row>
    <row r="18" spans="1:15" x14ac:dyDescent="0.25">
      <c r="A18" s="17" t="s">
        <v>58</v>
      </c>
      <c r="B18" s="19">
        <v>5950</v>
      </c>
      <c r="C18" s="19">
        <v>5612</v>
      </c>
      <c r="F18" s="16"/>
      <c r="G18" s="17" t="s">
        <v>58</v>
      </c>
      <c r="H18" s="19">
        <v>4352</v>
      </c>
      <c r="I18" s="19">
        <v>4355</v>
      </c>
      <c r="L18" s="16"/>
      <c r="M18" s="17" t="s">
        <v>58</v>
      </c>
      <c r="N18" s="19">
        <v>2889</v>
      </c>
      <c r="O18" s="19">
        <v>2349</v>
      </c>
    </row>
    <row r="19" spans="1:15" x14ac:dyDescent="0.25">
      <c r="A19" s="23" t="s">
        <v>59</v>
      </c>
      <c r="B19" s="26">
        <v>34986</v>
      </c>
      <c r="C19" s="26">
        <v>36862</v>
      </c>
      <c r="F19" s="16"/>
      <c r="G19" s="23" t="s">
        <v>59</v>
      </c>
      <c r="H19" s="26">
        <v>43348</v>
      </c>
      <c r="I19" s="26">
        <v>36717</v>
      </c>
      <c r="L19" s="16"/>
      <c r="M19" s="23" t="s">
        <v>59</v>
      </c>
      <c r="N19" s="26">
        <v>39112</v>
      </c>
      <c r="O19" s="26">
        <v>43573</v>
      </c>
    </row>
    <row r="20" spans="1:15" x14ac:dyDescent="0.25">
      <c r="A20" s="17" t="s">
        <v>60</v>
      </c>
      <c r="B20" s="19">
        <v>2113</v>
      </c>
      <c r="C20" s="19">
        <v>2090</v>
      </c>
      <c r="F20" s="16"/>
      <c r="G20" s="17" t="s">
        <v>60</v>
      </c>
      <c r="H20" s="19">
        <v>2085</v>
      </c>
      <c r="I20" s="19">
        <v>1997</v>
      </c>
      <c r="L20" s="16"/>
      <c r="M20" s="17" t="s">
        <v>60</v>
      </c>
      <c r="N20" s="19">
        <v>2338</v>
      </c>
      <c r="O20" s="19">
        <v>2453</v>
      </c>
    </row>
    <row r="21" spans="1:15" x14ac:dyDescent="0.25">
      <c r="A21" s="17" t="s">
        <v>57</v>
      </c>
      <c r="B21" s="19">
        <v>3466</v>
      </c>
      <c r="C21" s="19">
        <v>3376</v>
      </c>
      <c r="F21" s="16"/>
      <c r="G21" s="17" t="s">
        <v>57</v>
      </c>
      <c r="H21" s="19">
        <v>3483</v>
      </c>
      <c r="I21" s="19">
        <v>4009</v>
      </c>
      <c r="L21" s="16"/>
      <c r="M21" s="17" t="s">
        <v>57</v>
      </c>
      <c r="N21" s="19">
        <v>4884</v>
      </c>
      <c r="O21" s="19">
        <v>5714</v>
      </c>
    </row>
    <row r="22" spans="1:15" x14ac:dyDescent="0.25">
      <c r="A22" s="17" t="s">
        <v>61</v>
      </c>
      <c r="B22" s="19">
        <v>59136</v>
      </c>
      <c r="C22" s="19">
        <v>58660</v>
      </c>
      <c r="F22" s="16"/>
      <c r="G22" s="17" t="s">
        <v>61</v>
      </c>
      <c r="H22" s="19">
        <v>38535</v>
      </c>
      <c r="I22" s="19">
        <v>38304</v>
      </c>
      <c r="L22" s="16"/>
      <c r="M22" s="17" t="s">
        <v>61</v>
      </c>
      <c r="N22" s="19">
        <v>38168</v>
      </c>
      <c r="O22" s="19">
        <v>33806</v>
      </c>
    </row>
    <row r="23" spans="1:15" x14ac:dyDescent="0.25">
      <c r="A23" s="17" t="s">
        <v>62</v>
      </c>
      <c r="B23" s="19">
        <v>9175</v>
      </c>
      <c r="C23" s="19">
        <v>11219</v>
      </c>
      <c r="F23" s="16"/>
      <c r="G23" s="17" t="s">
        <v>62</v>
      </c>
      <c r="H23" s="19">
        <v>1818</v>
      </c>
      <c r="I23" s="19">
        <v>2569</v>
      </c>
      <c r="L23" s="16"/>
      <c r="M23" s="17" t="s">
        <v>62</v>
      </c>
      <c r="N23" s="19">
        <v>3619</v>
      </c>
      <c r="O23" s="19">
        <v>1576</v>
      </c>
    </row>
    <row r="24" spans="1:15" x14ac:dyDescent="0.25">
      <c r="A24" s="17" t="s">
        <v>63</v>
      </c>
      <c r="B24" s="19">
        <v>7356</v>
      </c>
      <c r="C24" s="19">
        <v>6262</v>
      </c>
      <c r="F24" s="16"/>
      <c r="G24" s="17" t="s">
        <v>63</v>
      </c>
      <c r="H24" s="19">
        <v>6576</v>
      </c>
      <c r="I24" s="19">
        <v>4449</v>
      </c>
      <c r="L24" s="16"/>
      <c r="M24" s="17" t="s">
        <v>63</v>
      </c>
      <c r="N24" s="19">
        <v>4360</v>
      </c>
      <c r="O24" s="19">
        <v>3990</v>
      </c>
    </row>
    <row r="25" spans="1:15" x14ac:dyDescent="0.25">
      <c r="A25" s="17" t="s">
        <v>64</v>
      </c>
      <c r="B25" s="19">
        <v>6059</v>
      </c>
      <c r="C25" s="19">
        <v>5944</v>
      </c>
      <c r="F25" s="16"/>
      <c r="G25" s="17" t="s">
        <v>64</v>
      </c>
      <c r="H25" s="19">
        <v>6007</v>
      </c>
      <c r="I25" s="19">
        <v>5957</v>
      </c>
      <c r="L25" s="16"/>
      <c r="M25" s="17" t="s">
        <v>64</v>
      </c>
      <c r="N25" s="19">
        <v>5016</v>
      </c>
      <c r="O25" s="19">
        <v>3741</v>
      </c>
    </row>
    <row r="26" spans="1:15" x14ac:dyDescent="0.25">
      <c r="A26" s="23" t="s">
        <v>65</v>
      </c>
      <c r="B26" s="25">
        <v>122291</v>
      </c>
      <c r="C26" s="25">
        <v>124413</v>
      </c>
      <c r="F26" s="16"/>
      <c r="G26" s="23" t="s">
        <v>65</v>
      </c>
      <c r="H26" s="25">
        <v>101852</v>
      </c>
      <c r="I26" s="25">
        <v>94002</v>
      </c>
      <c r="L26" s="16"/>
      <c r="M26" s="23" t="s">
        <v>65</v>
      </c>
      <c r="N26" s="25">
        <v>97497</v>
      </c>
      <c r="O26" s="25">
        <v>94853</v>
      </c>
    </row>
    <row r="27" spans="1:15" x14ac:dyDescent="0.25">
      <c r="A27" s="23" t="s">
        <v>66</v>
      </c>
      <c r="B27" s="16"/>
      <c r="C27" s="16"/>
      <c r="F27" s="16"/>
      <c r="G27" s="23" t="s">
        <v>66</v>
      </c>
      <c r="H27" s="16"/>
      <c r="I27" s="16"/>
      <c r="L27" s="16"/>
      <c r="M27" s="23" t="s">
        <v>66</v>
      </c>
      <c r="N27" s="16"/>
      <c r="O27" s="16"/>
    </row>
    <row r="28" spans="1:15" x14ac:dyDescent="0.25">
      <c r="A28" s="17" t="s">
        <v>67</v>
      </c>
      <c r="B28" s="16"/>
      <c r="C28" s="16"/>
      <c r="F28" s="16"/>
      <c r="G28" s="17" t="s">
        <v>67</v>
      </c>
      <c r="H28" s="16"/>
      <c r="I28" s="16"/>
      <c r="L28" s="16"/>
      <c r="M28" s="17" t="s">
        <v>67</v>
      </c>
      <c r="N28" s="16"/>
      <c r="O28" s="16"/>
    </row>
    <row r="29" spans="1:15" s="38" customFormat="1" x14ac:dyDescent="0.25">
      <c r="A29" s="23" t="s">
        <v>68</v>
      </c>
      <c r="B29" s="25">
        <v>5232</v>
      </c>
      <c r="C29" s="25">
        <v>11341</v>
      </c>
      <c r="F29" s="41"/>
      <c r="G29" s="23" t="s">
        <v>68</v>
      </c>
      <c r="H29" s="25">
        <v>1733</v>
      </c>
      <c r="I29" s="25">
        <v>1099</v>
      </c>
      <c r="L29" s="41"/>
      <c r="M29" s="23" t="s">
        <v>68</v>
      </c>
      <c r="N29" s="25">
        <v>2508</v>
      </c>
      <c r="O29" s="25">
        <v>3005</v>
      </c>
    </row>
    <row r="30" spans="1:15" x14ac:dyDescent="0.25">
      <c r="A30" s="17" t="s">
        <v>69</v>
      </c>
      <c r="B30" s="19">
        <v>2528</v>
      </c>
      <c r="C30" s="19">
        <v>2304</v>
      </c>
      <c r="F30" s="16"/>
      <c r="G30" s="17" t="s">
        <v>69</v>
      </c>
      <c r="H30" s="19">
        <v>2313</v>
      </c>
      <c r="I30" s="19">
        <v>2281</v>
      </c>
      <c r="L30" s="16"/>
      <c r="M30" s="17" t="s">
        <v>69</v>
      </c>
      <c r="N30" s="19">
        <v>2362</v>
      </c>
      <c r="O30" s="19">
        <v>2218</v>
      </c>
    </row>
    <row r="31" spans="1:15" x14ac:dyDescent="0.25">
      <c r="A31" s="17" t="s">
        <v>70</v>
      </c>
      <c r="B31" s="19">
        <v>1857</v>
      </c>
      <c r="C31" s="19">
        <v>1439</v>
      </c>
      <c r="F31" s="16"/>
      <c r="G31" s="17" t="s">
        <v>70</v>
      </c>
      <c r="H31" s="19">
        <v>4235</v>
      </c>
      <c r="I31" s="19">
        <v>961</v>
      </c>
      <c r="L31" s="16"/>
      <c r="M31" s="17" t="s">
        <v>70</v>
      </c>
      <c r="N31" s="19">
        <v>801</v>
      </c>
      <c r="O31" s="19">
        <v>839</v>
      </c>
    </row>
    <row r="32" spans="1:15" x14ac:dyDescent="0.25">
      <c r="A32" s="17" t="s">
        <v>71</v>
      </c>
      <c r="B32" s="19">
        <v>3611</v>
      </c>
      <c r="C32" s="19">
        <v>3608</v>
      </c>
      <c r="F32" s="16"/>
      <c r="G32" s="17" t="s">
        <v>71</v>
      </c>
      <c r="H32" s="19">
        <v>3984</v>
      </c>
      <c r="I32" s="19">
        <v>3316</v>
      </c>
      <c r="L32" s="16"/>
      <c r="M32" s="17" t="s">
        <v>71</v>
      </c>
      <c r="N32" s="19">
        <v>3818</v>
      </c>
      <c r="O32" s="19">
        <v>3122</v>
      </c>
    </row>
    <row r="33" spans="1:15" x14ac:dyDescent="0.25">
      <c r="A33" s="17" t="s">
        <v>72</v>
      </c>
      <c r="B33" s="19">
        <v>16416</v>
      </c>
      <c r="C33" s="19">
        <v>16249</v>
      </c>
      <c r="F33" s="16"/>
      <c r="G33" s="17" t="s">
        <v>72</v>
      </c>
      <c r="H33" s="19">
        <v>13908</v>
      </c>
      <c r="I33" s="19">
        <v>12784</v>
      </c>
      <c r="L33" s="16"/>
      <c r="M33" s="17" t="s">
        <v>72</v>
      </c>
      <c r="N33" s="19">
        <v>12148</v>
      </c>
      <c r="O33" s="19">
        <v>11406</v>
      </c>
    </row>
    <row r="34" spans="1:15" x14ac:dyDescent="0.25">
      <c r="A34" s="17" t="s">
        <v>73</v>
      </c>
      <c r="B34" s="19">
        <v>5420</v>
      </c>
      <c r="C34" s="19">
        <v>5643</v>
      </c>
      <c r="F34" s="16"/>
      <c r="G34" s="17" t="s">
        <v>73</v>
      </c>
      <c r="H34" s="19">
        <v>5136</v>
      </c>
      <c r="I34" s="19">
        <v>5199</v>
      </c>
      <c r="L34" s="16"/>
      <c r="M34" s="17" t="s">
        <v>73</v>
      </c>
      <c r="N34" s="19">
        <v>4620</v>
      </c>
      <c r="O34" s="19">
        <v>4741</v>
      </c>
    </row>
    <row r="35" spans="1:15" s="38" customFormat="1" x14ac:dyDescent="0.25">
      <c r="A35" s="23" t="s">
        <v>74</v>
      </c>
      <c r="B35" s="26">
        <v>35064</v>
      </c>
      <c r="C35" s="26">
        <v>40584</v>
      </c>
      <c r="F35" s="41"/>
      <c r="G35" s="23" t="s">
        <v>74</v>
      </c>
      <c r="H35" s="26">
        <v>31309</v>
      </c>
      <c r="I35" s="26">
        <v>25640</v>
      </c>
      <c r="L35" s="41"/>
      <c r="M35" s="23" t="s">
        <v>74</v>
      </c>
      <c r="N35" s="26">
        <v>26257</v>
      </c>
      <c r="O35" s="26">
        <v>25331</v>
      </c>
    </row>
    <row r="36" spans="1:15" s="38" customFormat="1" x14ac:dyDescent="0.25">
      <c r="A36" s="23" t="s">
        <v>75</v>
      </c>
      <c r="B36" s="26">
        <v>22861</v>
      </c>
      <c r="C36" s="26">
        <v>19621</v>
      </c>
      <c r="F36" s="41"/>
      <c r="G36" s="23" t="s">
        <v>75</v>
      </c>
      <c r="H36" s="26">
        <v>6658</v>
      </c>
      <c r="I36" s="26">
        <v>8416</v>
      </c>
      <c r="L36" s="41"/>
      <c r="M36" s="23" t="s">
        <v>75</v>
      </c>
      <c r="N36" s="26">
        <v>9018</v>
      </c>
      <c r="O36" s="26">
        <v>11578</v>
      </c>
    </row>
    <row r="37" spans="1:15" x14ac:dyDescent="0.25">
      <c r="A37" s="17" t="s">
        <v>70</v>
      </c>
      <c r="B37" s="19">
        <v>2165</v>
      </c>
      <c r="C37" s="19">
        <v>3985</v>
      </c>
      <c r="F37" s="16"/>
      <c r="G37" s="17" t="s">
        <v>70</v>
      </c>
      <c r="H37" s="19">
        <v>5756</v>
      </c>
      <c r="I37" s="19">
        <v>7725</v>
      </c>
      <c r="L37" s="16"/>
      <c r="M37" s="17" t="s">
        <v>70</v>
      </c>
      <c r="N37" s="19">
        <v>8538</v>
      </c>
      <c r="O37" s="19">
        <v>8837</v>
      </c>
    </row>
    <row r="38" spans="1:15" x14ac:dyDescent="0.25">
      <c r="A38" s="17" t="s">
        <v>72</v>
      </c>
      <c r="B38" s="19">
        <v>12363</v>
      </c>
      <c r="C38" s="19">
        <v>12226</v>
      </c>
      <c r="F38" s="16"/>
      <c r="G38" s="17" t="s">
        <v>72</v>
      </c>
      <c r="H38" s="19">
        <v>11642</v>
      </c>
      <c r="I38" s="19">
        <v>10480</v>
      </c>
      <c r="L38" s="16"/>
      <c r="M38" s="17" t="s">
        <v>72</v>
      </c>
      <c r="N38" s="19">
        <v>10016</v>
      </c>
      <c r="O38" s="19">
        <v>9040</v>
      </c>
    </row>
    <row r="39" spans="1:15" x14ac:dyDescent="0.25">
      <c r="A39" s="17" t="s">
        <v>76</v>
      </c>
      <c r="B39" s="19">
        <v>2995</v>
      </c>
      <c r="C39" s="19">
        <v>2540</v>
      </c>
      <c r="F39" s="16"/>
      <c r="G39" s="17" t="s">
        <v>76</v>
      </c>
      <c r="H39" s="19">
        <v>2134</v>
      </c>
      <c r="I39" s="19">
        <v>1968</v>
      </c>
      <c r="L39" s="16"/>
      <c r="M39" s="17" t="s">
        <v>76</v>
      </c>
      <c r="N39" s="19">
        <v>2393</v>
      </c>
      <c r="O39" s="19">
        <v>2147</v>
      </c>
    </row>
    <row r="40" spans="1:15" x14ac:dyDescent="0.25">
      <c r="A40" s="23" t="s">
        <v>77</v>
      </c>
      <c r="B40" s="26">
        <v>75448</v>
      </c>
      <c r="C40" s="26">
        <v>78956</v>
      </c>
      <c r="F40" s="16"/>
      <c r="G40" s="23" t="s">
        <v>77</v>
      </c>
      <c r="H40" s="26">
        <v>57499</v>
      </c>
      <c r="I40" s="26">
        <v>54229</v>
      </c>
      <c r="L40" s="16"/>
      <c r="M40" s="23" t="s">
        <v>77</v>
      </c>
      <c r="N40" s="26">
        <v>56222</v>
      </c>
      <c r="O40" s="26">
        <v>56933</v>
      </c>
    </row>
    <row r="41" spans="1:15" x14ac:dyDescent="0.25">
      <c r="A41" s="17" t="s">
        <v>78</v>
      </c>
      <c r="B41" s="16"/>
      <c r="C41" s="16"/>
      <c r="F41" s="16"/>
      <c r="G41" s="17" t="s">
        <v>78</v>
      </c>
      <c r="H41" s="16"/>
      <c r="I41" s="16"/>
      <c r="L41" s="16"/>
      <c r="M41" s="17" t="s">
        <v>78</v>
      </c>
      <c r="N41" s="16"/>
      <c r="O41" s="16"/>
    </row>
    <row r="42" spans="1:15" x14ac:dyDescent="0.25">
      <c r="A42" s="23" t="s">
        <v>79</v>
      </c>
      <c r="B42" s="16"/>
      <c r="C42" s="16"/>
      <c r="F42" s="16"/>
      <c r="G42" s="23" t="s">
        <v>79</v>
      </c>
      <c r="H42" s="16"/>
      <c r="I42" s="16"/>
      <c r="L42" s="16"/>
      <c r="M42" s="23" t="s">
        <v>79</v>
      </c>
      <c r="N42" s="16"/>
      <c r="O42" s="16"/>
    </row>
    <row r="43" spans="1:15" x14ac:dyDescent="0.25">
      <c r="A43" s="17" t="s">
        <v>80</v>
      </c>
      <c r="B43" s="16"/>
      <c r="C43" s="16"/>
      <c r="F43" s="16"/>
      <c r="G43" s="17" t="s">
        <v>80</v>
      </c>
      <c r="H43" s="16"/>
      <c r="I43" s="16"/>
      <c r="L43" s="16"/>
      <c r="M43" s="17" t="s">
        <v>80</v>
      </c>
      <c r="N43" s="16"/>
      <c r="O43" s="16"/>
    </row>
    <row r="44" spans="1:15" x14ac:dyDescent="0.25">
      <c r="A44" s="17" t="s">
        <v>81</v>
      </c>
      <c r="B44" s="16"/>
      <c r="C44" s="16"/>
      <c r="F44" s="16"/>
      <c r="G44" s="17" t="s">
        <v>81</v>
      </c>
      <c r="H44" s="16"/>
      <c r="I44" s="16"/>
      <c r="L44" s="16"/>
      <c r="M44" s="17" t="s">
        <v>81</v>
      </c>
      <c r="N44" s="16"/>
      <c r="O44" s="16"/>
    </row>
    <row r="45" spans="1:15" x14ac:dyDescent="0.25">
      <c r="A45" s="17" t="s">
        <v>82</v>
      </c>
      <c r="B45" s="20">
        <v>0</v>
      </c>
      <c r="C45" s="20">
        <v>0</v>
      </c>
      <c r="F45" s="16"/>
      <c r="G45" s="17" t="s">
        <v>82</v>
      </c>
      <c r="H45" s="20">
        <v>0</v>
      </c>
      <c r="I45" s="20">
        <v>0</v>
      </c>
      <c r="L45" s="16"/>
      <c r="M45" s="17" t="s">
        <v>82</v>
      </c>
      <c r="N45" s="20">
        <v>0</v>
      </c>
      <c r="O45" s="20">
        <v>0</v>
      </c>
    </row>
    <row r="46" spans="1:15" x14ac:dyDescent="0.25">
      <c r="A46" s="17" t="s">
        <v>83</v>
      </c>
      <c r="B46" s="16"/>
      <c r="C46" s="16"/>
      <c r="F46" s="16"/>
      <c r="G46" s="17" t="s">
        <v>83</v>
      </c>
      <c r="H46" s="16"/>
      <c r="I46" s="16"/>
      <c r="L46" s="16"/>
      <c r="M46" s="17" t="s">
        <v>83</v>
      </c>
      <c r="N46" s="16"/>
      <c r="O46" s="16"/>
    </row>
    <row r="47" spans="1:15" x14ac:dyDescent="0.25">
      <c r="A47" s="17" t="s">
        <v>84</v>
      </c>
      <c r="B47" s="16"/>
      <c r="C47" s="16"/>
      <c r="F47" s="16"/>
      <c r="G47" s="17" t="s">
        <v>95</v>
      </c>
      <c r="H47" s="16"/>
      <c r="I47" s="16"/>
      <c r="L47" s="16"/>
      <c r="M47" s="17" t="s">
        <v>103</v>
      </c>
      <c r="N47" s="16"/>
      <c r="O47" s="16"/>
    </row>
    <row r="48" spans="1:15" x14ac:dyDescent="0.25">
      <c r="A48" s="17" t="s">
        <v>85</v>
      </c>
      <c r="B48" s="19">
        <v>47747</v>
      </c>
      <c r="C48" s="19">
        <v>45800</v>
      </c>
      <c r="F48" s="16"/>
      <c r="G48" s="17" t="s">
        <v>96</v>
      </c>
      <c r="H48" s="19">
        <v>44289</v>
      </c>
      <c r="I48" s="19">
        <v>42714</v>
      </c>
      <c r="L48" s="16"/>
      <c r="M48" s="17" t="s">
        <v>104</v>
      </c>
      <c r="N48" s="19">
        <v>42346</v>
      </c>
      <c r="O48" s="19">
        <v>41202</v>
      </c>
    </row>
    <row r="49" spans="1:16" x14ac:dyDescent="0.25">
      <c r="A49" s="17" t="s">
        <v>86</v>
      </c>
      <c r="B49" s="19">
        <v>50</v>
      </c>
      <c r="C49" s="19">
        <v>1087</v>
      </c>
      <c r="F49" s="16"/>
      <c r="G49" s="17" t="s">
        <v>97</v>
      </c>
      <c r="H49" s="19">
        <v>1639</v>
      </c>
      <c r="I49" s="19">
        <v>-1319</v>
      </c>
      <c r="L49" s="16"/>
      <c r="M49" s="17" t="s">
        <v>105</v>
      </c>
      <c r="N49" s="19">
        <v>-654</v>
      </c>
      <c r="O49" s="19">
        <v>-2763</v>
      </c>
    </row>
    <row r="50" spans="1:16" x14ac:dyDescent="0.25">
      <c r="A50" s="17" t="s">
        <v>87</v>
      </c>
      <c r="B50" s="19">
        <v>-954</v>
      </c>
      <c r="C50" s="19">
        <v>-1430</v>
      </c>
      <c r="F50" s="16"/>
      <c r="G50" s="17" t="s">
        <v>87</v>
      </c>
      <c r="H50" s="19">
        <v>-1575</v>
      </c>
      <c r="I50" s="19">
        <v>-1622</v>
      </c>
      <c r="L50" s="16"/>
      <c r="M50" s="17" t="s">
        <v>87</v>
      </c>
      <c r="N50" s="19">
        <v>-417</v>
      </c>
      <c r="O50" s="19">
        <v>-519</v>
      </c>
    </row>
    <row r="51" spans="1:16" x14ac:dyDescent="0.25">
      <c r="A51" s="23" t="s">
        <v>88</v>
      </c>
      <c r="B51" s="26">
        <v>46843</v>
      </c>
      <c r="C51" s="26">
        <v>45457</v>
      </c>
      <c r="F51" s="16"/>
      <c r="G51" s="23" t="s">
        <v>88</v>
      </c>
      <c r="H51" s="26">
        <v>44353</v>
      </c>
      <c r="I51" s="26">
        <v>39773</v>
      </c>
      <c r="L51" s="16"/>
      <c r="M51" s="23" t="s">
        <v>88</v>
      </c>
      <c r="N51" s="26">
        <v>41275</v>
      </c>
      <c r="O51" s="26">
        <v>37920</v>
      </c>
    </row>
    <row r="52" spans="1:16" x14ac:dyDescent="0.25">
      <c r="A52" s="23" t="s">
        <v>89</v>
      </c>
      <c r="B52" s="25">
        <v>122291</v>
      </c>
      <c r="C52" s="25">
        <v>124413</v>
      </c>
      <c r="F52" s="16"/>
      <c r="G52" s="23" t="s">
        <v>89</v>
      </c>
      <c r="H52" s="25">
        <v>101852</v>
      </c>
      <c r="I52" s="25">
        <v>94002</v>
      </c>
      <c r="L52" s="16"/>
      <c r="M52" s="23" t="s">
        <v>89</v>
      </c>
      <c r="N52" s="25">
        <v>97497</v>
      </c>
      <c r="O52" s="25">
        <v>94853</v>
      </c>
    </row>
    <row r="53" spans="1:16" x14ac:dyDescent="0.25">
      <c r="A53" s="22"/>
      <c r="B53" s="16"/>
      <c r="C53" s="16"/>
      <c r="D53" s="16"/>
      <c r="F53" s="16"/>
      <c r="G53" s="22"/>
      <c r="H53" s="16"/>
      <c r="I53" s="16"/>
      <c r="J53" s="16"/>
      <c r="L53" s="16"/>
      <c r="M53" s="22"/>
      <c r="N53" s="16"/>
      <c r="O53" s="16"/>
      <c r="P53" s="16"/>
    </row>
    <row r="54" spans="1:16" x14ac:dyDescent="0.25">
      <c r="A54" s="21" t="s">
        <v>42</v>
      </c>
      <c r="B54" s="16"/>
      <c r="C54" s="16"/>
      <c r="D54" s="16"/>
      <c r="F54" s="16"/>
      <c r="G54" s="21" t="s">
        <v>42</v>
      </c>
      <c r="H54" s="16"/>
      <c r="I54" s="16"/>
      <c r="J54" s="16"/>
      <c r="L54" s="16"/>
      <c r="M54" s="21" t="s">
        <v>42</v>
      </c>
      <c r="N54" s="16"/>
      <c r="O54" s="16"/>
      <c r="P54" s="16"/>
    </row>
    <row r="55" spans="1:16" x14ac:dyDescent="0.25">
      <c r="A55" s="17"/>
      <c r="B55" s="16"/>
      <c r="C55" s="16"/>
      <c r="F55" s="16"/>
      <c r="G55" s="17"/>
      <c r="H55" s="16"/>
      <c r="I55" s="16"/>
      <c r="L55" s="16"/>
      <c r="M55" s="17"/>
      <c r="N55" s="16"/>
      <c r="O55" s="16"/>
    </row>
    <row r="56" spans="1:16" x14ac:dyDescent="0.25">
      <c r="A56" s="17"/>
      <c r="B56" s="16"/>
      <c r="C56" s="16"/>
      <c r="F56" s="16"/>
      <c r="G56" s="17"/>
      <c r="H56" s="16"/>
      <c r="I56" s="16"/>
      <c r="L56" s="16"/>
      <c r="M56" s="17"/>
      <c r="N56" s="16"/>
      <c r="O56" s="16"/>
    </row>
    <row r="57" spans="1:16" x14ac:dyDescent="0.25">
      <c r="A57" s="17"/>
      <c r="B57" s="16"/>
      <c r="C57" s="16"/>
      <c r="F57" s="16"/>
      <c r="G57" s="17"/>
      <c r="H57" s="16"/>
      <c r="I57" s="16"/>
      <c r="M57" s="17"/>
      <c r="N57" s="16"/>
      <c r="O57" s="16"/>
    </row>
    <row r="58" spans="1:16" x14ac:dyDescent="0.25">
      <c r="A58" s="16"/>
      <c r="B58" s="16"/>
      <c r="C58" s="16"/>
      <c r="G58" s="16"/>
      <c r="H58" s="16"/>
      <c r="I58" s="16"/>
    </row>
  </sheetData>
  <mergeCells count="3">
    <mergeCell ref="G1:J1"/>
    <mergeCell ref="M1:P1"/>
    <mergeCell ref="A1:D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89F0-C14C-48DA-82C2-0E64A60B8D3B}">
  <dimension ref="A1:K1594"/>
  <sheetViews>
    <sheetView workbookViewId="0">
      <selection activeCell="L11" sqref="L11"/>
    </sheetView>
  </sheetViews>
  <sheetFormatPr defaultRowHeight="15" x14ac:dyDescent="0.25"/>
  <cols>
    <col min="1" max="1" width="10.140625" bestFit="1" customWidth="1"/>
    <col min="2" max="2" width="9.28515625" customWidth="1"/>
    <col min="3" max="3" width="11" customWidth="1"/>
    <col min="4" max="4" width="11.140625" customWidth="1"/>
    <col min="5" max="5" width="10.140625" customWidth="1"/>
  </cols>
  <sheetData>
    <row r="1" spans="1:11" x14ac:dyDescent="0.25">
      <c r="A1" t="s">
        <v>227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</row>
    <row r="2" spans="1:11" x14ac:dyDescent="0.25">
      <c r="A2" t="s">
        <v>234</v>
      </c>
      <c r="B2">
        <v>91.28</v>
      </c>
      <c r="C2">
        <v>93.42</v>
      </c>
      <c r="D2">
        <v>93.32</v>
      </c>
      <c r="E2">
        <v>91.01</v>
      </c>
      <c r="F2" t="s">
        <v>235</v>
      </c>
      <c r="G2" s="50">
        <v>-3.2000000000000001E-2</v>
      </c>
    </row>
    <row r="3" spans="1:11" x14ac:dyDescent="0.25">
      <c r="A3" t="s">
        <v>236</v>
      </c>
      <c r="B3">
        <v>94.3</v>
      </c>
      <c r="C3">
        <v>93.82</v>
      </c>
      <c r="D3">
        <v>94.71</v>
      </c>
      <c r="E3">
        <v>93.38</v>
      </c>
      <c r="F3" t="s">
        <v>237</v>
      </c>
      <c r="G3" s="50">
        <v>1.7999999999999999E-2</v>
      </c>
      <c r="J3" s="38"/>
      <c r="K3" s="38"/>
    </row>
    <row r="4" spans="1:11" x14ac:dyDescent="0.25">
      <c r="A4" t="s">
        <v>238</v>
      </c>
      <c r="B4">
        <v>92.63</v>
      </c>
      <c r="C4">
        <v>91.85</v>
      </c>
      <c r="D4">
        <v>93.1</v>
      </c>
      <c r="E4">
        <v>91.19</v>
      </c>
      <c r="F4" t="s">
        <v>239</v>
      </c>
      <c r="G4" s="50">
        <v>8.5000000000000006E-3</v>
      </c>
      <c r="J4" s="38"/>
      <c r="K4" s="38"/>
    </row>
    <row r="5" spans="1:11" x14ac:dyDescent="0.25">
      <c r="A5" t="s">
        <v>240</v>
      </c>
      <c r="B5">
        <v>91.85</v>
      </c>
      <c r="C5">
        <v>91.75</v>
      </c>
      <c r="D5">
        <v>92.92</v>
      </c>
      <c r="E5">
        <v>91.16</v>
      </c>
      <c r="F5" t="s">
        <v>241</v>
      </c>
      <c r="G5" s="50">
        <v>3.8E-3</v>
      </c>
      <c r="J5" s="38"/>
      <c r="K5" s="38"/>
    </row>
    <row r="6" spans="1:11" x14ac:dyDescent="0.25">
      <c r="A6" t="s">
        <v>242</v>
      </c>
      <c r="B6">
        <v>91.5</v>
      </c>
      <c r="C6">
        <v>89.82</v>
      </c>
      <c r="D6">
        <v>91.67</v>
      </c>
      <c r="E6">
        <v>89.32</v>
      </c>
      <c r="F6" t="s">
        <v>243</v>
      </c>
      <c r="G6" s="50">
        <v>2.1499999999999998E-2</v>
      </c>
      <c r="J6" s="38"/>
      <c r="K6" s="38"/>
    </row>
    <row r="7" spans="1:11" x14ac:dyDescent="0.25">
      <c r="A7" t="s">
        <v>244</v>
      </c>
      <c r="B7">
        <v>89.57</v>
      </c>
      <c r="C7">
        <v>87.32</v>
      </c>
      <c r="D7">
        <v>89.63</v>
      </c>
      <c r="E7">
        <v>86.83</v>
      </c>
      <c r="F7" t="s">
        <v>245</v>
      </c>
      <c r="G7" s="50">
        <v>3.1199999999999999E-2</v>
      </c>
      <c r="J7" s="38"/>
      <c r="K7" s="38"/>
    </row>
    <row r="8" spans="1:11" x14ac:dyDescent="0.25">
      <c r="A8" t="s">
        <v>246</v>
      </c>
      <c r="B8">
        <v>86.86</v>
      </c>
      <c r="C8">
        <v>88.55</v>
      </c>
      <c r="D8">
        <v>88.55</v>
      </c>
      <c r="E8">
        <v>85.78</v>
      </c>
      <c r="F8" t="s">
        <v>247</v>
      </c>
      <c r="G8" s="50">
        <v>-1.5900000000000001E-2</v>
      </c>
    </row>
    <row r="9" spans="1:11" x14ac:dyDescent="0.25">
      <c r="A9" t="s">
        <v>248</v>
      </c>
      <c r="B9">
        <v>88.26</v>
      </c>
      <c r="C9">
        <v>89.28</v>
      </c>
      <c r="D9">
        <v>89.5</v>
      </c>
      <c r="E9">
        <v>87.64</v>
      </c>
      <c r="F9" t="s">
        <v>249</v>
      </c>
      <c r="G9" s="50">
        <v>-8.3999999999999995E-3</v>
      </c>
    </row>
    <row r="10" spans="1:11" x14ac:dyDescent="0.25">
      <c r="A10" t="s">
        <v>250</v>
      </c>
      <c r="B10">
        <v>89.01</v>
      </c>
      <c r="C10">
        <v>87.4</v>
      </c>
      <c r="D10">
        <v>89.73</v>
      </c>
      <c r="E10">
        <v>87.4</v>
      </c>
      <c r="F10" t="s">
        <v>251</v>
      </c>
      <c r="G10" s="50">
        <v>4.7000000000000002E-3</v>
      </c>
    </row>
    <row r="11" spans="1:11" x14ac:dyDescent="0.25">
      <c r="A11" t="s">
        <v>252</v>
      </c>
      <c r="B11">
        <v>88.59</v>
      </c>
      <c r="C11">
        <v>89.32</v>
      </c>
      <c r="D11">
        <v>90</v>
      </c>
      <c r="E11">
        <v>88.27</v>
      </c>
      <c r="F11" t="s">
        <v>253</v>
      </c>
      <c r="G11" s="50">
        <v>-1.35E-2</v>
      </c>
    </row>
    <row r="12" spans="1:11" x14ac:dyDescent="0.25">
      <c r="A12" t="s">
        <v>254</v>
      </c>
      <c r="B12">
        <v>89.8</v>
      </c>
      <c r="C12">
        <v>89.93</v>
      </c>
      <c r="D12">
        <v>90.45</v>
      </c>
      <c r="E12">
        <v>89.48</v>
      </c>
      <c r="F12" t="s">
        <v>255</v>
      </c>
      <c r="G12" s="50">
        <v>1.1000000000000001E-3</v>
      </c>
    </row>
    <row r="13" spans="1:11" x14ac:dyDescent="0.25">
      <c r="A13" t="s">
        <v>256</v>
      </c>
      <c r="B13">
        <v>89.7</v>
      </c>
      <c r="C13">
        <v>87.92</v>
      </c>
      <c r="D13">
        <v>89.8</v>
      </c>
      <c r="E13">
        <v>87.16</v>
      </c>
      <c r="F13" t="s">
        <v>257</v>
      </c>
      <c r="G13" s="50">
        <v>2.2700000000000001E-2</v>
      </c>
    </row>
    <row r="14" spans="1:11" x14ac:dyDescent="0.25">
      <c r="A14" t="s">
        <v>258</v>
      </c>
      <c r="B14">
        <v>87.71</v>
      </c>
      <c r="C14">
        <v>86.19</v>
      </c>
      <c r="D14">
        <v>88.35</v>
      </c>
      <c r="E14">
        <v>85.86</v>
      </c>
      <c r="F14" t="s">
        <v>259</v>
      </c>
      <c r="G14" s="50">
        <v>1.6899999999999998E-2</v>
      </c>
    </row>
    <row r="15" spans="1:11" x14ac:dyDescent="0.25">
      <c r="A15" t="s">
        <v>260</v>
      </c>
      <c r="B15">
        <v>86.25</v>
      </c>
      <c r="C15">
        <v>85.19</v>
      </c>
      <c r="D15">
        <v>86.38</v>
      </c>
      <c r="E15">
        <v>84.6</v>
      </c>
      <c r="F15" t="s">
        <v>261</v>
      </c>
      <c r="G15" s="50">
        <v>2.07E-2</v>
      </c>
    </row>
    <row r="16" spans="1:11" x14ac:dyDescent="0.25">
      <c r="A16" t="s">
        <v>262</v>
      </c>
      <c r="B16">
        <v>84.5</v>
      </c>
      <c r="C16">
        <v>82.08</v>
      </c>
      <c r="D16">
        <v>84.53</v>
      </c>
      <c r="E16">
        <v>82</v>
      </c>
      <c r="F16" t="s">
        <v>263</v>
      </c>
      <c r="G16" s="50">
        <v>2.5999999999999999E-2</v>
      </c>
    </row>
    <row r="17" spans="1:7" x14ac:dyDescent="0.25">
      <c r="A17" t="s">
        <v>264</v>
      </c>
      <c r="B17">
        <v>82.36</v>
      </c>
      <c r="C17">
        <v>82.53</v>
      </c>
      <c r="D17">
        <v>82.66</v>
      </c>
      <c r="E17">
        <v>80.88</v>
      </c>
      <c r="F17" t="s">
        <v>265</v>
      </c>
      <c r="G17" s="50">
        <v>-3.0000000000000001E-3</v>
      </c>
    </row>
    <row r="18" spans="1:7" x14ac:dyDescent="0.25">
      <c r="A18" t="s">
        <v>266</v>
      </c>
      <c r="B18">
        <v>82.61</v>
      </c>
      <c r="C18">
        <v>82.03</v>
      </c>
      <c r="D18">
        <v>82.65</v>
      </c>
      <c r="E18">
        <v>81.36</v>
      </c>
      <c r="F18" t="s">
        <v>267</v>
      </c>
      <c r="G18" s="50">
        <v>3.2000000000000002E-3</v>
      </c>
    </row>
    <row r="19" spans="1:7" x14ac:dyDescent="0.25">
      <c r="A19" t="s">
        <v>268</v>
      </c>
      <c r="B19">
        <v>82.35</v>
      </c>
      <c r="C19">
        <v>82.04</v>
      </c>
      <c r="D19">
        <v>82.39</v>
      </c>
      <c r="E19">
        <v>81.25</v>
      </c>
      <c r="F19" t="s">
        <v>269</v>
      </c>
      <c r="G19" s="50">
        <v>1.6000000000000001E-3</v>
      </c>
    </row>
    <row r="20" spans="1:7" x14ac:dyDescent="0.25">
      <c r="A20" t="s">
        <v>270</v>
      </c>
      <c r="B20">
        <v>82.22</v>
      </c>
      <c r="C20">
        <v>83.89</v>
      </c>
      <c r="D20">
        <v>84.56</v>
      </c>
      <c r="E20">
        <v>81.62</v>
      </c>
      <c r="F20" t="s">
        <v>271</v>
      </c>
      <c r="G20" s="50">
        <v>-1.14E-2</v>
      </c>
    </row>
    <row r="21" spans="1:7" x14ac:dyDescent="0.25">
      <c r="A21" t="s">
        <v>272</v>
      </c>
      <c r="B21">
        <v>83.17</v>
      </c>
      <c r="C21">
        <v>83.85</v>
      </c>
      <c r="D21">
        <v>84.77</v>
      </c>
      <c r="E21">
        <v>82.15</v>
      </c>
      <c r="F21" t="s">
        <v>273</v>
      </c>
      <c r="G21" s="50">
        <v>-6.3E-3</v>
      </c>
    </row>
    <row r="22" spans="1:7" x14ac:dyDescent="0.25">
      <c r="A22" t="s">
        <v>274</v>
      </c>
      <c r="B22">
        <v>83.7</v>
      </c>
      <c r="C22">
        <v>82.31</v>
      </c>
      <c r="D22">
        <v>83.74</v>
      </c>
      <c r="E22">
        <v>81.5</v>
      </c>
      <c r="F22" t="s">
        <v>275</v>
      </c>
      <c r="G22" s="50">
        <v>3.7400000000000003E-2</v>
      </c>
    </row>
    <row r="23" spans="1:7" x14ac:dyDescent="0.25">
      <c r="A23" t="s">
        <v>276</v>
      </c>
      <c r="B23">
        <v>80.680000000000007</v>
      </c>
      <c r="C23">
        <v>80.02</v>
      </c>
      <c r="D23">
        <v>80.89</v>
      </c>
      <c r="E23">
        <v>79.42</v>
      </c>
      <c r="F23" t="s">
        <v>277</v>
      </c>
      <c r="G23" s="50">
        <v>3.0000000000000001E-3</v>
      </c>
    </row>
    <row r="24" spans="1:7" x14ac:dyDescent="0.25">
      <c r="A24" t="s">
        <v>278</v>
      </c>
      <c r="B24">
        <v>80.430000000000007</v>
      </c>
      <c r="C24">
        <v>79.12</v>
      </c>
      <c r="D24">
        <v>80.48</v>
      </c>
      <c r="E24">
        <v>79.02</v>
      </c>
      <c r="F24" t="s">
        <v>279</v>
      </c>
      <c r="G24" s="50">
        <v>1.7899999999999999E-2</v>
      </c>
    </row>
    <row r="25" spans="1:7" x14ac:dyDescent="0.25">
      <c r="A25" t="s">
        <v>280</v>
      </c>
      <c r="B25">
        <v>79.02</v>
      </c>
      <c r="C25">
        <v>76.73</v>
      </c>
      <c r="D25">
        <v>79.099999999999994</v>
      </c>
      <c r="E25">
        <v>76.540000000000006</v>
      </c>
      <c r="F25" t="s">
        <v>281</v>
      </c>
      <c r="G25" s="50">
        <v>1.4E-2</v>
      </c>
    </row>
    <row r="26" spans="1:7" x14ac:dyDescent="0.25">
      <c r="A26" t="s">
        <v>282</v>
      </c>
      <c r="B26">
        <v>77.930000000000007</v>
      </c>
      <c r="C26">
        <v>78</v>
      </c>
      <c r="D26">
        <v>79.12</v>
      </c>
      <c r="E26">
        <v>77.81</v>
      </c>
      <c r="F26" t="s">
        <v>283</v>
      </c>
      <c r="G26" s="50">
        <v>4.4000000000000003E-3</v>
      </c>
    </row>
    <row r="27" spans="1:7" x14ac:dyDescent="0.25">
      <c r="A27" t="s">
        <v>284</v>
      </c>
      <c r="B27">
        <v>77.59</v>
      </c>
      <c r="C27">
        <v>77.89</v>
      </c>
      <c r="D27">
        <v>78.19</v>
      </c>
      <c r="E27">
        <v>76.31</v>
      </c>
      <c r="F27" t="s">
        <v>285</v>
      </c>
      <c r="G27" s="50">
        <v>7.1000000000000004E-3</v>
      </c>
    </row>
    <row r="28" spans="1:7" x14ac:dyDescent="0.25">
      <c r="A28" t="s">
        <v>286</v>
      </c>
      <c r="B28">
        <v>77.040000000000006</v>
      </c>
      <c r="C28">
        <v>79.86</v>
      </c>
      <c r="D28">
        <v>80.39</v>
      </c>
      <c r="E28">
        <v>76.59</v>
      </c>
      <c r="F28" t="s">
        <v>287</v>
      </c>
      <c r="G28" s="50">
        <v>-3.5999999999999997E-2</v>
      </c>
    </row>
    <row r="29" spans="1:7" x14ac:dyDescent="0.25">
      <c r="A29" t="s">
        <v>288</v>
      </c>
      <c r="B29">
        <v>79.92</v>
      </c>
      <c r="C29">
        <v>81.97</v>
      </c>
      <c r="D29">
        <v>82.12</v>
      </c>
      <c r="E29">
        <v>79.400000000000006</v>
      </c>
      <c r="F29" t="s">
        <v>289</v>
      </c>
      <c r="G29" s="50">
        <v>-2.7300000000000001E-2</v>
      </c>
    </row>
    <row r="30" spans="1:7" x14ac:dyDescent="0.25">
      <c r="A30" t="s">
        <v>290</v>
      </c>
      <c r="B30">
        <v>82.16</v>
      </c>
      <c r="C30">
        <v>82.07</v>
      </c>
      <c r="D30">
        <v>83.11</v>
      </c>
      <c r="E30">
        <v>81.81</v>
      </c>
      <c r="F30" t="s">
        <v>291</v>
      </c>
      <c r="G30" s="50">
        <v>4.0000000000000001E-3</v>
      </c>
    </row>
    <row r="31" spans="1:7" x14ac:dyDescent="0.25">
      <c r="A31" t="s">
        <v>292</v>
      </c>
      <c r="B31">
        <v>81.83</v>
      </c>
      <c r="C31">
        <v>81</v>
      </c>
      <c r="D31">
        <v>82.68</v>
      </c>
      <c r="E31">
        <v>80.89</v>
      </c>
      <c r="F31" t="s">
        <v>293</v>
      </c>
      <c r="G31" s="50">
        <v>1.2E-2</v>
      </c>
    </row>
    <row r="32" spans="1:7" x14ac:dyDescent="0.25">
      <c r="A32" t="s">
        <v>294</v>
      </c>
      <c r="B32">
        <v>80.86</v>
      </c>
      <c r="C32">
        <v>78.37</v>
      </c>
      <c r="D32">
        <v>80.930000000000007</v>
      </c>
      <c r="E32">
        <v>78.13</v>
      </c>
      <c r="F32" t="s">
        <v>295</v>
      </c>
      <c r="G32" s="50">
        <v>2.5899999999999999E-2</v>
      </c>
    </row>
    <row r="33" spans="1:7" x14ac:dyDescent="0.25">
      <c r="A33" t="s">
        <v>296</v>
      </c>
      <c r="B33">
        <v>78.819999999999993</v>
      </c>
      <c r="C33">
        <v>78.64</v>
      </c>
      <c r="D33">
        <v>79.510000000000005</v>
      </c>
      <c r="E33">
        <v>78.42</v>
      </c>
      <c r="F33" t="s">
        <v>297</v>
      </c>
      <c r="G33" s="50">
        <v>1.5100000000000001E-2</v>
      </c>
    </row>
    <row r="34" spans="1:7" x14ac:dyDescent="0.25">
      <c r="A34" t="s">
        <v>298</v>
      </c>
      <c r="B34">
        <v>77.650000000000006</v>
      </c>
      <c r="C34">
        <v>78.44</v>
      </c>
      <c r="D34">
        <v>79.040000000000006</v>
      </c>
      <c r="E34">
        <v>76.709999999999994</v>
      </c>
      <c r="F34" t="s">
        <v>299</v>
      </c>
      <c r="G34" s="50">
        <v>-1.0999999999999999E-2</v>
      </c>
    </row>
    <row r="35" spans="1:7" x14ac:dyDescent="0.25">
      <c r="A35" t="s">
        <v>300</v>
      </c>
      <c r="B35">
        <v>78.510000000000005</v>
      </c>
      <c r="C35">
        <v>77.55</v>
      </c>
      <c r="D35">
        <v>78.88</v>
      </c>
      <c r="E35">
        <v>76.92</v>
      </c>
      <c r="F35" t="s">
        <v>301</v>
      </c>
      <c r="G35" s="50">
        <v>1.17E-2</v>
      </c>
    </row>
    <row r="36" spans="1:7" x14ac:dyDescent="0.25">
      <c r="A36" t="s">
        <v>302</v>
      </c>
      <c r="B36">
        <v>77.599999999999994</v>
      </c>
      <c r="C36">
        <v>79.739999999999995</v>
      </c>
      <c r="D36">
        <v>80.03</v>
      </c>
      <c r="E36">
        <v>77.53</v>
      </c>
      <c r="F36" t="s">
        <v>303</v>
      </c>
      <c r="G36" s="50">
        <v>-2.1100000000000001E-2</v>
      </c>
    </row>
    <row r="37" spans="1:7" x14ac:dyDescent="0.25">
      <c r="A37" t="s">
        <v>304</v>
      </c>
      <c r="B37">
        <v>79.27</v>
      </c>
      <c r="C37">
        <v>79.180000000000007</v>
      </c>
      <c r="D37">
        <v>80.05</v>
      </c>
      <c r="E37">
        <v>78.819999999999993</v>
      </c>
      <c r="F37" t="s">
        <v>305</v>
      </c>
      <c r="G37" s="50">
        <v>4.7000000000000002E-3</v>
      </c>
    </row>
    <row r="38" spans="1:7" x14ac:dyDescent="0.25">
      <c r="A38" t="s">
        <v>306</v>
      </c>
      <c r="B38">
        <v>78.900000000000006</v>
      </c>
      <c r="C38">
        <v>78.92</v>
      </c>
      <c r="D38">
        <v>79.17</v>
      </c>
      <c r="E38">
        <v>78.19</v>
      </c>
      <c r="F38" t="s">
        <v>307</v>
      </c>
      <c r="G38" s="50">
        <v>7.3000000000000001E-3</v>
      </c>
    </row>
    <row r="39" spans="1:7" x14ac:dyDescent="0.25">
      <c r="A39" t="s">
        <v>308</v>
      </c>
      <c r="B39">
        <v>78.33</v>
      </c>
      <c r="C39">
        <v>78.069999999999993</v>
      </c>
      <c r="D39">
        <v>79.260000000000005</v>
      </c>
      <c r="E39">
        <v>77.930000000000007</v>
      </c>
      <c r="F39" t="s">
        <v>309</v>
      </c>
      <c r="G39" s="50">
        <v>7.6E-3</v>
      </c>
    </row>
    <row r="40" spans="1:7" x14ac:dyDescent="0.25">
      <c r="A40" t="s">
        <v>310</v>
      </c>
      <c r="B40">
        <v>77.739999999999995</v>
      </c>
      <c r="C40">
        <v>76.95</v>
      </c>
      <c r="D40">
        <v>78.13</v>
      </c>
      <c r="E40">
        <v>76.95</v>
      </c>
      <c r="F40" t="s">
        <v>311</v>
      </c>
      <c r="G40" s="50">
        <v>-4.5999999999999999E-3</v>
      </c>
    </row>
    <row r="41" spans="1:7" x14ac:dyDescent="0.25">
      <c r="A41" t="s">
        <v>312</v>
      </c>
      <c r="B41">
        <v>78.099999999999994</v>
      </c>
      <c r="C41">
        <v>77.64</v>
      </c>
      <c r="D41">
        <v>78.5</v>
      </c>
      <c r="E41">
        <v>77.12</v>
      </c>
      <c r="F41" t="s">
        <v>313</v>
      </c>
      <c r="G41" s="50">
        <v>5.1000000000000004E-3</v>
      </c>
    </row>
    <row r="42" spans="1:7" x14ac:dyDescent="0.25">
      <c r="A42" t="s">
        <v>314</v>
      </c>
      <c r="B42">
        <v>77.7</v>
      </c>
      <c r="C42">
        <v>77.14</v>
      </c>
      <c r="D42">
        <v>79.010000000000005</v>
      </c>
      <c r="E42">
        <v>77.099999999999994</v>
      </c>
      <c r="F42" t="s">
        <v>315</v>
      </c>
      <c r="G42" s="50">
        <v>1.9599999999999999E-2</v>
      </c>
    </row>
    <row r="43" spans="1:7" x14ac:dyDescent="0.25">
      <c r="A43" t="s">
        <v>316</v>
      </c>
      <c r="B43">
        <v>76.209999999999994</v>
      </c>
      <c r="C43">
        <v>77.180000000000007</v>
      </c>
      <c r="D43">
        <v>77.56</v>
      </c>
      <c r="E43">
        <v>75.2</v>
      </c>
      <c r="F43" t="s">
        <v>317</v>
      </c>
      <c r="G43" s="50">
        <v>-3.09E-2</v>
      </c>
    </row>
    <row r="44" spans="1:7" x14ac:dyDescent="0.25">
      <c r="A44" t="s">
        <v>318</v>
      </c>
      <c r="B44">
        <v>78.64</v>
      </c>
      <c r="C44">
        <v>78.510000000000005</v>
      </c>
      <c r="D44">
        <v>79.510000000000005</v>
      </c>
      <c r="E44">
        <v>78.349999999999994</v>
      </c>
      <c r="F44" t="s">
        <v>319</v>
      </c>
      <c r="G44" s="50">
        <v>-1.7100000000000001E-2</v>
      </c>
    </row>
    <row r="45" spans="1:7" x14ac:dyDescent="0.25">
      <c r="A45" t="s">
        <v>320</v>
      </c>
      <c r="B45">
        <v>80.010000000000005</v>
      </c>
      <c r="C45">
        <v>79.989999999999995</v>
      </c>
      <c r="D45">
        <v>81.17</v>
      </c>
      <c r="E45">
        <v>79.05</v>
      </c>
      <c r="F45" t="s">
        <v>321</v>
      </c>
      <c r="G45" s="50">
        <v>-1.06E-2</v>
      </c>
    </row>
    <row r="46" spans="1:7" x14ac:dyDescent="0.25">
      <c r="A46" t="s">
        <v>322</v>
      </c>
      <c r="B46">
        <v>80.87</v>
      </c>
      <c r="C46">
        <v>79.2</v>
      </c>
      <c r="D46">
        <v>80.959999999999994</v>
      </c>
      <c r="E46">
        <v>78.53</v>
      </c>
      <c r="F46" t="s">
        <v>323</v>
      </c>
      <c r="G46" s="50">
        <v>2.4199999999999999E-2</v>
      </c>
    </row>
    <row r="47" spans="1:7" x14ac:dyDescent="0.25">
      <c r="A47" t="s">
        <v>324</v>
      </c>
      <c r="B47">
        <v>78.959999999999994</v>
      </c>
      <c r="C47">
        <v>78.38</v>
      </c>
      <c r="D47">
        <v>79.44</v>
      </c>
      <c r="E47">
        <v>77.569999999999993</v>
      </c>
      <c r="F47" t="s">
        <v>301</v>
      </c>
      <c r="G47" s="50">
        <v>-5.7999999999999996E-3</v>
      </c>
    </row>
    <row r="48" spans="1:7" x14ac:dyDescent="0.25">
      <c r="A48" t="s">
        <v>325</v>
      </c>
      <c r="B48">
        <v>79.42</v>
      </c>
      <c r="C48">
        <v>78.75</v>
      </c>
      <c r="D48">
        <v>79.510000000000005</v>
      </c>
      <c r="E48">
        <v>77.69</v>
      </c>
      <c r="F48" t="s">
        <v>326</v>
      </c>
      <c r="G48" s="50">
        <v>-5.0000000000000001E-4</v>
      </c>
    </row>
    <row r="49" spans="1:7" x14ac:dyDescent="0.25">
      <c r="A49" t="s">
        <v>327</v>
      </c>
      <c r="B49">
        <v>79.459999999999994</v>
      </c>
      <c r="C49">
        <v>77.650000000000006</v>
      </c>
      <c r="D49">
        <v>79.53</v>
      </c>
      <c r="E49">
        <v>77.069999999999993</v>
      </c>
      <c r="F49" t="s">
        <v>328</v>
      </c>
      <c r="G49" s="50">
        <v>1.7399999999999999E-2</v>
      </c>
    </row>
    <row r="50" spans="1:7" x14ac:dyDescent="0.25">
      <c r="A50" t="s">
        <v>329</v>
      </c>
      <c r="B50">
        <v>78.099999999999994</v>
      </c>
      <c r="C50">
        <v>78.94</v>
      </c>
      <c r="D50">
        <v>79.34</v>
      </c>
      <c r="E50">
        <v>77.72</v>
      </c>
      <c r="F50" t="s">
        <v>330</v>
      </c>
      <c r="G50" s="50">
        <v>-1.29E-2</v>
      </c>
    </row>
    <row r="51" spans="1:7" x14ac:dyDescent="0.25">
      <c r="A51" t="s">
        <v>331</v>
      </c>
      <c r="B51">
        <v>79.12</v>
      </c>
      <c r="C51">
        <v>78.45</v>
      </c>
      <c r="D51">
        <v>79.42</v>
      </c>
      <c r="E51">
        <v>78.260000000000005</v>
      </c>
      <c r="F51" t="s">
        <v>332</v>
      </c>
      <c r="G51" s="50">
        <v>1.2500000000000001E-2</v>
      </c>
    </row>
    <row r="52" spans="1:7" x14ac:dyDescent="0.25">
      <c r="A52" t="s">
        <v>333</v>
      </c>
      <c r="B52">
        <v>78.14</v>
      </c>
      <c r="C52">
        <v>77.739999999999995</v>
      </c>
      <c r="D52">
        <v>78.709999999999994</v>
      </c>
      <c r="E52">
        <v>77.47</v>
      </c>
      <c r="F52" t="s">
        <v>334</v>
      </c>
      <c r="G52" s="50">
        <v>5.1000000000000004E-3</v>
      </c>
    </row>
    <row r="53" spans="1:7" x14ac:dyDescent="0.25">
      <c r="A53" t="s">
        <v>335</v>
      </c>
      <c r="B53">
        <v>77.739999999999995</v>
      </c>
      <c r="C53">
        <v>78.849999999999994</v>
      </c>
      <c r="D53">
        <v>79.48</v>
      </c>
      <c r="E53">
        <v>76.94</v>
      </c>
      <c r="F53" t="s">
        <v>336</v>
      </c>
      <c r="G53" s="50">
        <v>-1.84E-2</v>
      </c>
    </row>
    <row r="54" spans="1:7" x14ac:dyDescent="0.25">
      <c r="A54" t="s">
        <v>337</v>
      </c>
      <c r="B54">
        <v>79.2</v>
      </c>
      <c r="C54">
        <v>78.13</v>
      </c>
      <c r="D54">
        <v>79.33</v>
      </c>
      <c r="E54">
        <v>78.13</v>
      </c>
      <c r="F54" t="s">
        <v>338</v>
      </c>
      <c r="G54" s="50">
        <v>8.0999999999999996E-3</v>
      </c>
    </row>
    <row r="55" spans="1:7" x14ac:dyDescent="0.25">
      <c r="A55" t="s">
        <v>339</v>
      </c>
      <c r="B55">
        <v>78.56</v>
      </c>
      <c r="C55">
        <v>77.989999999999995</v>
      </c>
      <c r="D55">
        <v>79.150000000000006</v>
      </c>
      <c r="E55">
        <v>77.87</v>
      </c>
      <c r="F55" t="s">
        <v>340</v>
      </c>
      <c r="G55" s="50">
        <v>4.8999999999999998E-3</v>
      </c>
    </row>
    <row r="56" spans="1:7" x14ac:dyDescent="0.25">
      <c r="A56" t="s">
        <v>341</v>
      </c>
      <c r="B56">
        <v>78.180000000000007</v>
      </c>
      <c r="C56">
        <v>76.55</v>
      </c>
      <c r="D56">
        <v>78.599999999999994</v>
      </c>
      <c r="E56">
        <v>76.489999999999995</v>
      </c>
      <c r="F56" t="s">
        <v>342</v>
      </c>
      <c r="G56" s="50">
        <v>1.7299999999999999E-2</v>
      </c>
    </row>
    <row r="57" spans="1:7" x14ac:dyDescent="0.25">
      <c r="A57" t="s">
        <v>343</v>
      </c>
      <c r="B57">
        <v>76.849999999999994</v>
      </c>
      <c r="C57">
        <v>76.95</v>
      </c>
      <c r="D57">
        <v>77.569999999999993</v>
      </c>
      <c r="E57">
        <v>76.47</v>
      </c>
      <c r="F57" t="s">
        <v>344</v>
      </c>
      <c r="G57" s="50">
        <v>0</v>
      </c>
    </row>
    <row r="58" spans="1:7" x14ac:dyDescent="0.25">
      <c r="A58" t="s">
        <v>345</v>
      </c>
      <c r="B58">
        <v>76.849999999999994</v>
      </c>
      <c r="C58">
        <v>74.38</v>
      </c>
      <c r="D58">
        <v>77.3</v>
      </c>
      <c r="E58">
        <v>73.42</v>
      </c>
      <c r="F58" t="s">
        <v>346</v>
      </c>
      <c r="G58" s="50">
        <v>2.47E-2</v>
      </c>
    </row>
    <row r="59" spans="1:7" x14ac:dyDescent="0.25">
      <c r="A59" t="s">
        <v>347</v>
      </c>
      <c r="B59">
        <v>75</v>
      </c>
      <c r="C59">
        <v>79.61</v>
      </c>
      <c r="D59">
        <v>80.37</v>
      </c>
      <c r="E59">
        <v>74.08</v>
      </c>
      <c r="F59" t="s">
        <v>348</v>
      </c>
      <c r="G59" s="50">
        <v>-0.1232</v>
      </c>
    </row>
    <row r="60" spans="1:7" x14ac:dyDescent="0.25">
      <c r="A60" t="s">
        <v>349</v>
      </c>
      <c r="B60">
        <v>85.54</v>
      </c>
      <c r="C60">
        <v>86.06</v>
      </c>
      <c r="D60">
        <v>87.14</v>
      </c>
      <c r="E60">
        <v>85.13</v>
      </c>
      <c r="F60" t="s">
        <v>350</v>
      </c>
      <c r="G60" s="50">
        <v>-8.6999999999999994E-3</v>
      </c>
    </row>
    <row r="61" spans="1:7" x14ac:dyDescent="0.25">
      <c r="A61" t="s">
        <v>351</v>
      </c>
      <c r="B61">
        <v>86.29</v>
      </c>
      <c r="C61">
        <v>86.97</v>
      </c>
      <c r="D61">
        <v>88.18</v>
      </c>
      <c r="E61">
        <v>86.13</v>
      </c>
      <c r="F61" t="s">
        <v>352</v>
      </c>
      <c r="G61" s="50">
        <v>-5.5999999999999999E-3</v>
      </c>
    </row>
    <row r="62" spans="1:7" x14ac:dyDescent="0.25">
      <c r="A62" t="s">
        <v>353</v>
      </c>
      <c r="B62">
        <v>86.78</v>
      </c>
      <c r="C62">
        <v>84.73</v>
      </c>
      <c r="D62">
        <v>87.25</v>
      </c>
      <c r="E62">
        <v>84.31</v>
      </c>
      <c r="F62" t="s">
        <v>354</v>
      </c>
      <c r="G62" s="50">
        <v>2.3099999999999999E-2</v>
      </c>
    </row>
    <row r="63" spans="1:7" x14ac:dyDescent="0.25">
      <c r="A63" t="s">
        <v>355</v>
      </c>
      <c r="B63">
        <v>84.82</v>
      </c>
      <c r="C63">
        <v>83.56</v>
      </c>
      <c r="D63">
        <v>85</v>
      </c>
      <c r="E63">
        <v>82.81</v>
      </c>
      <c r="F63" t="s">
        <v>356</v>
      </c>
      <c r="G63" s="50">
        <v>2.9899999999999999E-2</v>
      </c>
    </row>
    <row r="64" spans="1:7" x14ac:dyDescent="0.25">
      <c r="A64" t="s">
        <v>357</v>
      </c>
      <c r="B64">
        <v>82.36</v>
      </c>
      <c r="C64">
        <v>80.86</v>
      </c>
      <c r="D64">
        <v>83.31</v>
      </c>
      <c r="E64">
        <v>80.81</v>
      </c>
      <c r="F64" t="s">
        <v>358</v>
      </c>
      <c r="G64" s="50">
        <v>1.4800000000000001E-2</v>
      </c>
    </row>
    <row r="65" spans="1:7" x14ac:dyDescent="0.25">
      <c r="A65" t="s">
        <v>359</v>
      </c>
      <c r="B65">
        <v>81.16</v>
      </c>
      <c r="C65">
        <v>83.98</v>
      </c>
      <c r="D65">
        <v>84.24</v>
      </c>
      <c r="E65">
        <v>81.14</v>
      </c>
      <c r="F65" t="s">
        <v>360</v>
      </c>
      <c r="G65" s="50">
        <v>-2.35E-2</v>
      </c>
    </row>
    <row r="66" spans="1:7" x14ac:dyDescent="0.25">
      <c r="A66" t="s">
        <v>361</v>
      </c>
      <c r="B66">
        <v>83.11</v>
      </c>
      <c r="C66">
        <v>80.81</v>
      </c>
      <c r="D66">
        <v>83.25</v>
      </c>
      <c r="E66">
        <v>80.81</v>
      </c>
      <c r="F66" t="s">
        <v>362</v>
      </c>
      <c r="G66" s="50">
        <v>3.0599999999999999E-2</v>
      </c>
    </row>
    <row r="67" spans="1:7" x14ac:dyDescent="0.25">
      <c r="A67" t="s">
        <v>363</v>
      </c>
      <c r="B67">
        <v>80.64</v>
      </c>
      <c r="C67">
        <v>78.12</v>
      </c>
      <c r="D67">
        <v>81.150000000000006</v>
      </c>
      <c r="E67">
        <v>78</v>
      </c>
      <c r="F67" t="s">
        <v>364</v>
      </c>
      <c r="G67" s="50">
        <v>2.9600000000000001E-2</v>
      </c>
    </row>
    <row r="68" spans="1:7" x14ac:dyDescent="0.25">
      <c r="A68" t="s">
        <v>365</v>
      </c>
      <c r="B68">
        <v>78.319999999999993</v>
      </c>
      <c r="C68">
        <v>78.09</v>
      </c>
      <c r="D68">
        <v>78.790000000000006</v>
      </c>
      <c r="E68">
        <v>77.72</v>
      </c>
      <c r="F68" t="s">
        <v>366</v>
      </c>
      <c r="G68" s="50">
        <v>-1.4E-3</v>
      </c>
    </row>
    <row r="69" spans="1:7" x14ac:dyDescent="0.25">
      <c r="A69" t="s">
        <v>367</v>
      </c>
      <c r="B69">
        <v>78.430000000000007</v>
      </c>
      <c r="C69">
        <v>79.11</v>
      </c>
      <c r="D69">
        <v>79.48</v>
      </c>
      <c r="E69">
        <v>77.63</v>
      </c>
      <c r="F69" t="s">
        <v>368</v>
      </c>
      <c r="G69" s="50">
        <v>-6.7000000000000002E-3</v>
      </c>
    </row>
    <row r="70" spans="1:7" x14ac:dyDescent="0.25">
      <c r="A70" t="s">
        <v>369</v>
      </c>
      <c r="B70">
        <v>78.959999999999994</v>
      </c>
      <c r="C70">
        <v>78.930000000000007</v>
      </c>
      <c r="D70">
        <v>79.040000000000006</v>
      </c>
      <c r="E70">
        <v>78.010000000000005</v>
      </c>
      <c r="F70" t="s">
        <v>370</v>
      </c>
      <c r="G70" s="50">
        <v>3.5999999999999999E-3</v>
      </c>
    </row>
    <row r="71" spans="1:7" x14ac:dyDescent="0.25">
      <c r="A71" t="s">
        <v>371</v>
      </c>
      <c r="B71">
        <v>78.680000000000007</v>
      </c>
      <c r="C71">
        <v>77.19</v>
      </c>
      <c r="D71">
        <v>78.91</v>
      </c>
      <c r="E71">
        <v>77.05</v>
      </c>
      <c r="F71" t="s">
        <v>372</v>
      </c>
      <c r="G71" s="50">
        <v>2.1700000000000001E-2</v>
      </c>
    </row>
    <row r="72" spans="1:7" x14ac:dyDescent="0.25">
      <c r="A72" t="s">
        <v>373</v>
      </c>
      <c r="B72">
        <v>77.010000000000005</v>
      </c>
      <c r="C72">
        <v>76.47</v>
      </c>
      <c r="D72">
        <v>77.42</v>
      </c>
      <c r="E72">
        <v>75.64</v>
      </c>
      <c r="F72" t="s">
        <v>374</v>
      </c>
      <c r="G72" s="50">
        <v>3.2399999999999998E-2</v>
      </c>
    </row>
    <row r="73" spans="1:7" x14ac:dyDescent="0.25">
      <c r="A73" t="s">
        <v>375</v>
      </c>
      <c r="B73">
        <v>74.59</v>
      </c>
      <c r="C73">
        <v>73.95</v>
      </c>
      <c r="D73">
        <v>75.069999999999993</v>
      </c>
      <c r="E73">
        <v>73.709999999999994</v>
      </c>
      <c r="F73" t="s">
        <v>376</v>
      </c>
      <c r="G73" s="50">
        <v>3.5000000000000001E-3</v>
      </c>
    </row>
    <row r="74" spans="1:7" x14ac:dyDescent="0.25">
      <c r="A74" t="s">
        <v>377</v>
      </c>
      <c r="B74">
        <v>74.33</v>
      </c>
      <c r="C74">
        <v>74.11</v>
      </c>
      <c r="D74">
        <v>74.78</v>
      </c>
      <c r="E74">
        <v>73.88</v>
      </c>
      <c r="F74" t="s">
        <v>378</v>
      </c>
      <c r="G74" s="50">
        <v>8.6999999999999994E-3</v>
      </c>
    </row>
    <row r="75" spans="1:7" x14ac:dyDescent="0.25">
      <c r="A75" t="s">
        <v>379</v>
      </c>
      <c r="B75">
        <v>73.69</v>
      </c>
      <c r="C75">
        <v>73.94</v>
      </c>
      <c r="D75">
        <v>74.36</v>
      </c>
      <c r="E75">
        <v>73</v>
      </c>
      <c r="F75" t="s">
        <v>380</v>
      </c>
      <c r="G75" s="50">
        <v>4.5999999999999999E-3</v>
      </c>
    </row>
    <row r="76" spans="1:7" x14ac:dyDescent="0.25">
      <c r="A76" t="s">
        <v>381</v>
      </c>
      <c r="B76">
        <v>73.349999999999994</v>
      </c>
      <c r="C76">
        <v>74.52</v>
      </c>
      <c r="D76">
        <v>74.87</v>
      </c>
      <c r="E76">
        <v>73.209999999999994</v>
      </c>
      <c r="F76" t="s">
        <v>382</v>
      </c>
      <c r="G76" s="50">
        <v>-2.4500000000000001E-2</v>
      </c>
    </row>
    <row r="77" spans="1:7" x14ac:dyDescent="0.25">
      <c r="A77" t="s">
        <v>383</v>
      </c>
      <c r="B77">
        <v>75.19</v>
      </c>
      <c r="C77">
        <v>75.64</v>
      </c>
      <c r="D77">
        <v>75.989999999999995</v>
      </c>
      <c r="E77">
        <v>74.599999999999994</v>
      </c>
      <c r="F77" t="s">
        <v>384</v>
      </c>
      <c r="G77" s="50">
        <v>-8.0000000000000004E-4</v>
      </c>
    </row>
    <row r="78" spans="1:7" x14ac:dyDescent="0.25">
      <c r="A78" t="s">
        <v>385</v>
      </c>
      <c r="B78">
        <v>75.25</v>
      </c>
      <c r="C78">
        <v>75.22</v>
      </c>
      <c r="D78">
        <v>76.05</v>
      </c>
      <c r="E78">
        <v>74.91</v>
      </c>
      <c r="F78" t="s">
        <v>380</v>
      </c>
      <c r="G78" s="50">
        <v>1.1299999999999999E-2</v>
      </c>
    </row>
    <row r="79" spans="1:7" x14ac:dyDescent="0.25">
      <c r="A79" t="s">
        <v>386</v>
      </c>
      <c r="B79">
        <v>74.41</v>
      </c>
      <c r="C79">
        <v>74.930000000000007</v>
      </c>
      <c r="D79">
        <v>75.11</v>
      </c>
      <c r="E79">
        <v>73.819999999999993</v>
      </c>
      <c r="F79" t="s">
        <v>387</v>
      </c>
      <c r="G79" s="50">
        <v>-1.4E-2</v>
      </c>
    </row>
    <row r="80" spans="1:7" x14ac:dyDescent="0.25">
      <c r="A80" t="s">
        <v>388</v>
      </c>
      <c r="B80">
        <v>75.47</v>
      </c>
      <c r="C80">
        <v>73.989999999999995</v>
      </c>
      <c r="D80">
        <v>75.5</v>
      </c>
      <c r="E80">
        <v>73.86</v>
      </c>
      <c r="F80" t="s">
        <v>389</v>
      </c>
      <c r="G80" s="50">
        <v>1.9699999999999999E-2</v>
      </c>
    </row>
    <row r="81" spans="1:7" x14ac:dyDescent="0.25">
      <c r="A81" t="s">
        <v>390</v>
      </c>
      <c r="B81">
        <v>74.010000000000005</v>
      </c>
      <c r="C81">
        <v>72.91</v>
      </c>
      <c r="D81">
        <v>74.05</v>
      </c>
      <c r="E81">
        <v>72.8</v>
      </c>
      <c r="F81" t="s">
        <v>391</v>
      </c>
      <c r="G81" s="50">
        <v>1.8E-3</v>
      </c>
    </row>
    <row r="82" spans="1:7" x14ac:dyDescent="0.25">
      <c r="A82" t="s">
        <v>392</v>
      </c>
      <c r="B82">
        <v>73.88</v>
      </c>
      <c r="C82">
        <v>73.45</v>
      </c>
      <c r="D82">
        <v>74.33</v>
      </c>
      <c r="E82">
        <v>73.33</v>
      </c>
      <c r="F82" t="s">
        <v>393</v>
      </c>
      <c r="G82" s="50">
        <v>-1.1000000000000001E-3</v>
      </c>
    </row>
    <row r="83" spans="1:7" x14ac:dyDescent="0.25">
      <c r="A83" t="s">
        <v>394</v>
      </c>
      <c r="B83">
        <v>73.959999999999994</v>
      </c>
      <c r="C83">
        <v>74.31</v>
      </c>
      <c r="D83">
        <v>74.459999999999994</v>
      </c>
      <c r="E83">
        <v>73.55</v>
      </c>
      <c r="F83" t="s">
        <v>395</v>
      </c>
      <c r="G83" s="50">
        <v>-1.0200000000000001E-2</v>
      </c>
    </row>
    <row r="84" spans="1:7" x14ac:dyDescent="0.25">
      <c r="A84" t="s">
        <v>396</v>
      </c>
      <c r="B84">
        <v>74.72</v>
      </c>
      <c r="C84">
        <v>75.12</v>
      </c>
      <c r="D84">
        <v>75.38</v>
      </c>
      <c r="E84">
        <v>74.19</v>
      </c>
      <c r="F84" t="s">
        <v>397</v>
      </c>
      <c r="G84" s="50">
        <v>-6.7999999999999996E-3</v>
      </c>
    </row>
    <row r="85" spans="1:7" x14ac:dyDescent="0.25">
      <c r="A85" t="s">
        <v>398</v>
      </c>
      <c r="B85">
        <v>75.23</v>
      </c>
      <c r="C85">
        <v>75.53</v>
      </c>
      <c r="D85">
        <v>75.72</v>
      </c>
      <c r="E85">
        <v>74.81</v>
      </c>
      <c r="F85" t="s">
        <v>399</v>
      </c>
      <c r="G85" s="50">
        <v>-4.5999999999999999E-3</v>
      </c>
    </row>
    <row r="86" spans="1:7" x14ac:dyDescent="0.25">
      <c r="A86" t="s">
        <v>400</v>
      </c>
      <c r="B86">
        <v>75.58</v>
      </c>
      <c r="C86">
        <v>76.45</v>
      </c>
      <c r="D86">
        <v>76.77</v>
      </c>
      <c r="E86">
        <v>75.209999999999994</v>
      </c>
      <c r="F86" t="s">
        <v>401</v>
      </c>
      <c r="G86" s="50">
        <v>-6.0000000000000001E-3</v>
      </c>
    </row>
    <row r="87" spans="1:7" x14ac:dyDescent="0.25">
      <c r="A87" t="s">
        <v>402</v>
      </c>
      <c r="B87">
        <v>76.040000000000006</v>
      </c>
      <c r="C87">
        <v>76.64</v>
      </c>
      <c r="D87">
        <v>76.95</v>
      </c>
      <c r="E87">
        <v>75.61</v>
      </c>
      <c r="F87" t="s">
        <v>403</v>
      </c>
      <c r="G87" s="50">
        <v>-1.29E-2</v>
      </c>
    </row>
    <row r="88" spans="1:7" x14ac:dyDescent="0.25">
      <c r="A88" t="s">
        <v>404</v>
      </c>
      <c r="B88">
        <v>77.03</v>
      </c>
      <c r="C88">
        <v>77.34</v>
      </c>
      <c r="D88">
        <v>77.819999999999993</v>
      </c>
      <c r="E88">
        <v>76.88</v>
      </c>
      <c r="F88" t="s">
        <v>405</v>
      </c>
      <c r="G88" s="50">
        <v>-4.8999999999999998E-3</v>
      </c>
    </row>
    <row r="89" spans="1:7" x14ac:dyDescent="0.25">
      <c r="A89" t="s">
        <v>406</v>
      </c>
      <c r="B89">
        <v>77.41</v>
      </c>
      <c r="C89">
        <v>77.81</v>
      </c>
      <c r="D89">
        <v>77.81</v>
      </c>
      <c r="E89">
        <v>77.17</v>
      </c>
      <c r="F89" t="s">
        <v>407</v>
      </c>
      <c r="G89" s="50">
        <v>-4.8999999999999998E-3</v>
      </c>
    </row>
    <row r="90" spans="1:7" x14ac:dyDescent="0.25">
      <c r="A90" t="s">
        <v>408</v>
      </c>
      <c r="B90">
        <v>77.790000000000006</v>
      </c>
      <c r="C90">
        <v>78.03</v>
      </c>
      <c r="D90">
        <v>78.3</v>
      </c>
      <c r="E90">
        <v>77.52</v>
      </c>
      <c r="F90" t="s">
        <v>409</v>
      </c>
      <c r="G90" s="50">
        <v>-4.7000000000000002E-3</v>
      </c>
    </row>
    <row r="91" spans="1:7" x14ac:dyDescent="0.25">
      <c r="A91" t="s">
        <v>410</v>
      </c>
      <c r="B91">
        <v>78.16</v>
      </c>
      <c r="C91">
        <v>78.099999999999994</v>
      </c>
      <c r="D91">
        <v>78.28</v>
      </c>
      <c r="E91">
        <v>77.930000000000007</v>
      </c>
      <c r="F91" t="s">
        <v>411</v>
      </c>
      <c r="G91" s="50">
        <v>1.8E-3</v>
      </c>
    </row>
    <row r="92" spans="1:7" x14ac:dyDescent="0.25">
      <c r="A92" t="s">
        <v>412</v>
      </c>
      <c r="B92">
        <v>78.02</v>
      </c>
      <c r="C92">
        <v>78.02</v>
      </c>
      <c r="D92">
        <v>78.02</v>
      </c>
      <c r="E92">
        <v>78.02</v>
      </c>
      <c r="F92" t="s">
        <v>413</v>
      </c>
      <c r="G92" s="50">
        <v>0</v>
      </c>
    </row>
    <row r="93" spans="1:7" x14ac:dyDescent="0.25">
      <c r="A93" t="s">
        <v>414</v>
      </c>
      <c r="B93">
        <v>78.02</v>
      </c>
      <c r="C93">
        <v>78.02</v>
      </c>
      <c r="D93">
        <v>78.290000000000006</v>
      </c>
      <c r="E93">
        <v>77.849999999999994</v>
      </c>
      <c r="F93" t="s">
        <v>413</v>
      </c>
      <c r="G93" s="50">
        <v>0</v>
      </c>
    </row>
    <row r="94" spans="1:7" x14ac:dyDescent="0.25">
      <c r="A94" t="s">
        <v>415</v>
      </c>
      <c r="B94">
        <v>78.02</v>
      </c>
      <c r="C94">
        <v>77.61</v>
      </c>
      <c r="D94">
        <v>78.12</v>
      </c>
      <c r="E94">
        <v>77.59</v>
      </c>
      <c r="F94" t="s">
        <v>416</v>
      </c>
      <c r="G94" s="50">
        <v>-1.1999999999999999E-3</v>
      </c>
    </row>
    <row r="95" spans="1:7" x14ac:dyDescent="0.25">
      <c r="A95" t="s">
        <v>417</v>
      </c>
      <c r="B95">
        <v>78.11</v>
      </c>
      <c r="C95">
        <v>79.010000000000005</v>
      </c>
      <c r="D95">
        <v>79.14</v>
      </c>
      <c r="E95">
        <v>77.959999999999994</v>
      </c>
      <c r="F95" t="s">
        <v>418</v>
      </c>
      <c r="G95" s="50">
        <v>-4.0000000000000001E-3</v>
      </c>
    </row>
    <row r="96" spans="1:7" x14ac:dyDescent="0.25">
      <c r="A96" t="s">
        <v>419</v>
      </c>
      <c r="B96">
        <v>78.42</v>
      </c>
      <c r="C96">
        <v>76.97</v>
      </c>
      <c r="D96">
        <v>79.17</v>
      </c>
      <c r="E96">
        <v>76.790000000000006</v>
      </c>
      <c r="F96" t="s">
        <v>420</v>
      </c>
      <c r="G96" s="50">
        <v>1.9099999999999999E-2</v>
      </c>
    </row>
    <row r="97" spans="1:7" x14ac:dyDescent="0.25">
      <c r="A97" t="s">
        <v>421</v>
      </c>
      <c r="B97">
        <v>76.95</v>
      </c>
      <c r="C97">
        <v>76.33</v>
      </c>
      <c r="D97">
        <v>77.81</v>
      </c>
      <c r="E97">
        <v>76.260000000000005</v>
      </c>
      <c r="F97" t="s">
        <v>422</v>
      </c>
      <c r="G97" s="50">
        <v>1.2500000000000001E-2</v>
      </c>
    </row>
    <row r="98" spans="1:7" x14ac:dyDescent="0.25">
      <c r="A98" t="s">
        <v>423</v>
      </c>
      <c r="B98">
        <v>76</v>
      </c>
      <c r="C98">
        <v>77.900000000000006</v>
      </c>
      <c r="D98">
        <v>78.2</v>
      </c>
      <c r="E98">
        <v>75.92</v>
      </c>
      <c r="F98" t="s">
        <v>424</v>
      </c>
      <c r="G98" s="50">
        <v>-0.02</v>
      </c>
    </row>
    <row r="99" spans="1:7" x14ac:dyDescent="0.25">
      <c r="A99" t="s">
        <v>425</v>
      </c>
      <c r="B99">
        <v>77.55</v>
      </c>
      <c r="C99">
        <v>78.11</v>
      </c>
      <c r="D99">
        <v>78.61</v>
      </c>
      <c r="E99">
        <v>77.38</v>
      </c>
      <c r="F99" t="s">
        <v>426</v>
      </c>
      <c r="G99" s="50">
        <v>-8.8999999999999999E-3</v>
      </c>
    </row>
    <row r="100" spans="1:7" x14ac:dyDescent="0.25">
      <c r="A100" t="s">
        <v>427</v>
      </c>
      <c r="B100">
        <v>78.25</v>
      </c>
      <c r="C100">
        <v>78.209999999999994</v>
      </c>
      <c r="D100">
        <v>78.709999999999994</v>
      </c>
      <c r="E100">
        <v>77.540000000000006</v>
      </c>
      <c r="F100" t="s">
        <v>428</v>
      </c>
      <c r="G100" s="50">
        <v>5.7999999999999996E-3</v>
      </c>
    </row>
    <row r="101" spans="1:7" x14ac:dyDescent="0.25">
      <c r="A101" t="s">
        <v>429</v>
      </c>
      <c r="B101">
        <v>77.8</v>
      </c>
      <c r="C101">
        <v>79.459999999999994</v>
      </c>
      <c r="D101">
        <v>79.56</v>
      </c>
      <c r="E101">
        <v>77.709999999999994</v>
      </c>
      <c r="F101" t="s">
        <v>430</v>
      </c>
      <c r="G101" s="50">
        <v>-1.8499999999999999E-2</v>
      </c>
    </row>
    <row r="102" spans="1:7" x14ac:dyDescent="0.25">
      <c r="A102" t="s">
        <v>431</v>
      </c>
      <c r="B102">
        <v>79.27</v>
      </c>
      <c r="C102">
        <v>80.239999999999995</v>
      </c>
      <c r="D102">
        <v>80.37</v>
      </c>
      <c r="E102">
        <v>78.819999999999993</v>
      </c>
      <c r="F102" t="s">
        <v>257</v>
      </c>
      <c r="G102" s="50">
        <v>-1.2200000000000001E-2</v>
      </c>
    </row>
    <row r="103" spans="1:7" x14ac:dyDescent="0.25">
      <c r="A103" t="s">
        <v>432</v>
      </c>
      <c r="B103">
        <v>80.25</v>
      </c>
      <c r="C103">
        <v>78.83</v>
      </c>
      <c r="D103">
        <v>80.819999999999993</v>
      </c>
      <c r="E103">
        <v>78.8</v>
      </c>
      <c r="F103" t="s">
        <v>433</v>
      </c>
      <c r="G103" s="50">
        <v>9.2999999999999992E-3</v>
      </c>
    </row>
    <row r="104" spans="1:7" x14ac:dyDescent="0.25">
      <c r="A104" t="s">
        <v>434</v>
      </c>
      <c r="B104">
        <v>79.510000000000005</v>
      </c>
      <c r="C104">
        <v>78.790000000000006</v>
      </c>
      <c r="D104">
        <v>79.88</v>
      </c>
      <c r="E104">
        <v>78.510000000000005</v>
      </c>
      <c r="F104" t="s">
        <v>435</v>
      </c>
      <c r="G104" s="50">
        <v>8.2000000000000007E-3</v>
      </c>
    </row>
    <row r="105" spans="1:7" x14ac:dyDescent="0.25">
      <c r="A105" t="s">
        <v>436</v>
      </c>
      <c r="B105">
        <v>78.86</v>
      </c>
      <c r="C105">
        <v>78.209999999999994</v>
      </c>
      <c r="D105">
        <v>79.38</v>
      </c>
      <c r="E105">
        <v>78.12</v>
      </c>
      <c r="F105" t="s">
        <v>437</v>
      </c>
      <c r="G105" s="50">
        <v>1.14E-2</v>
      </c>
    </row>
    <row r="106" spans="1:7" x14ac:dyDescent="0.25">
      <c r="A106" t="s">
        <v>438</v>
      </c>
      <c r="B106">
        <v>77.97</v>
      </c>
      <c r="C106">
        <v>77.97</v>
      </c>
      <c r="D106">
        <v>78.19</v>
      </c>
      <c r="E106">
        <v>77.39</v>
      </c>
      <c r="F106" t="s">
        <v>439</v>
      </c>
      <c r="G106" s="50">
        <v>2.7000000000000001E-3</v>
      </c>
    </row>
    <row r="107" spans="1:7" x14ac:dyDescent="0.25">
      <c r="A107" t="s">
        <v>440</v>
      </c>
      <c r="B107">
        <v>77.760000000000005</v>
      </c>
      <c r="C107">
        <v>77.69</v>
      </c>
      <c r="D107">
        <v>77.86</v>
      </c>
      <c r="E107">
        <v>77.17</v>
      </c>
      <c r="F107" t="s">
        <v>441</v>
      </c>
      <c r="G107" s="50">
        <v>1E-4</v>
      </c>
    </row>
    <row r="108" spans="1:7" x14ac:dyDescent="0.25">
      <c r="A108" t="s">
        <v>442</v>
      </c>
      <c r="B108">
        <v>77.75</v>
      </c>
      <c r="C108">
        <v>76.58</v>
      </c>
      <c r="D108">
        <v>77.819999999999993</v>
      </c>
      <c r="E108">
        <v>75.650000000000006</v>
      </c>
      <c r="F108" t="s">
        <v>443</v>
      </c>
      <c r="G108" s="50">
        <v>1.14E-2</v>
      </c>
    </row>
    <row r="109" spans="1:7" x14ac:dyDescent="0.25">
      <c r="A109" t="s">
        <v>444</v>
      </c>
      <c r="B109">
        <v>76.87</v>
      </c>
      <c r="C109">
        <v>76.150000000000006</v>
      </c>
      <c r="D109">
        <v>77</v>
      </c>
      <c r="E109">
        <v>75.760000000000005</v>
      </c>
      <c r="F109" t="s">
        <v>445</v>
      </c>
      <c r="G109" s="50">
        <v>1.09E-2</v>
      </c>
    </row>
    <row r="110" spans="1:7" x14ac:dyDescent="0.25">
      <c r="A110" t="s">
        <v>446</v>
      </c>
      <c r="B110">
        <v>76.040000000000006</v>
      </c>
      <c r="C110">
        <v>76.67</v>
      </c>
      <c r="D110">
        <v>76.819999999999993</v>
      </c>
      <c r="E110">
        <v>75.930000000000007</v>
      </c>
      <c r="F110" t="s">
        <v>447</v>
      </c>
      <c r="G110" s="50">
        <v>-1.17E-2</v>
      </c>
    </row>
    <row r="111" spans="1:7" x14ac:dyDescent="0.25">
      <c r="A111" t="s">
        <v>448</v>
      </c>
      <c r="B111">
        <v>76.94</v>
      </c>
      <c r="C111">
        <v>76.14</v>
      </c>
      <c r="D111">
        <v>76.959999999999994</v>
      </c>
      <c r="E111">
        <v>75.81</v>
      </c>
      <c r="F111" t="s">
        <v>449</v>
      </c>
      <c r="G111" s="50">
        <v>1.14E-2</v>
      </c>
    </row>
    <row r="112" spans="1:7" x14ac:dyDescent="0.25">
      <c r="A112" t="s">
        <v>450</v>
      </c>
      <c r="B112">
        <v>76.069999999999993</v>
      </c>
      <c r="C112">
        <v>76.459999999999994</v>
      </c>
      <c r="D112">
        <v>76.599999999999994</v>
      </c>
      <c r="E112">
        <v>75.34</v>
      </c>
      <c r="F112" t="s">
        <v>451</v>
      </c>
      <c r="G112" s="50">
        <v>-3.3E-3</v>
      </c>
    </row>
    <row r="113" spans="1:7" x14ac:dyDescent="0.25">
      <c r="A113" t="s">
        <v>452</v>
      </c>
      <c r="B113">
        <v>76.319999999999993</v>
      </c>
      <c r="C113">
        <v>76.489999999999995</v>
      </c>
      <c r="D113">
        <v>77.06</v>
      </c>
      <c r="E113">
        <v>76.069999999999993</v>
      </c>
      <c r="F113" t="s">
        <v>453</v>
      </c>
      <c r="G113" s="50">
        <v>1E-3</v>
      </c>
    </row>
    <row r="114" spans="1:7" x14ac:dyDescent="0.25">
      <c r="A114" t="s">
        <v>454</v>
      </c>
      <c r="B114">
        <v>76.239999999999995</v>
      </c>
      <c r="C114">
        <v>76.489999999999995</v>
      </c>
      <c r="D114">
        <v>76.88</v>
      </c>
      <c r="E114">
        <v>75.680000000000007</v>
      </c>
      <c r="F114" t="s">
        <v>455</v>
      </c>
      <c r="G114" s="50">
        <v>1.8E-3</v>
      </c>
    </row>
    <row r="115" spans="1:7" x14ac:dyDescent="0.25">
      <c r="A115" t="s">
        <v>456</v>
      </c>
      <c r="B115">
        <v>76.099999999999994</v>
      </c>
      <c r="C115">
        <v>75.64</v>
      </c>
      <c r="D115">
        <v>76.94</v>
      </c>
      <c r="E115">
        <v>75.47</v>
      </c>
      <c r="F115" t="s">
        <v>457</v>
      </c>
      <c r="G115" s="50">
        <v>8.6999999999999994E-3</v>
      </c>
    </row>
    <row r="116" spans="1:7" x14ac:dyDescent="0.25">
      <c r="A116" t="s">
        <v>458</v>
      </c>
      <c r="B116">
        <v>75.44</v>
      </c>
      <c r="C116">
        <v>79.12</v>
      </c>
      <c r="D116">
        <v>80.06</v>
      </c>
      <c r="E116">
        <v>75.319999999999993</v>
      </c>
      <c r="F116" t="s">
        <v>459</v>
      </c>
      <c r="G116" s="50">
        <v>-3.7600000000000001E-2</v>
      </c>
    </row>
    <row r="117" spans="1:7" x14ac:dyDescent="0.25">
      <c r="A117" t="s">
        <v>460</v>
      </c>
      <c r="B117">
        <v>78.39</v>
      </c>
      <c r="C117">
        <v>77.3</v>
      </c>
      <c r="D117">
        <v>78.930000000000007</v>
      </c>
      <c r="E117">
        <v>77.16</v>
      </c>
      <c r="F117" t="s">
        <v>461</v>
      </c>
      <c r="G117" s="50">
        <v>1.32E-2</v>
      </c>
    </row>
    <row r="118" spans="1:7" x14ac:dyDescent="0.25">
      <c r="A118" t="s">
        <v>462</v>
      </c>
      <c r="B118">
        <v>77.37</v>
      </c>
      <c r="C118">
        <v>77.55</v>
      </c>
      <c r="D118">
        <v>78.2</v>
      </c>
      <c r="E118">
        <v>76.45</v>
      </c>
      <c r="F118" t="s">
        <v>463</v>
      </c>
      <c r="G118" s="50">
        <v>-5.3E-3</v>
      </c>
    </row>
    <row r="119" spans="1:7" x14ac:dyDescent="0.25">
      <c r="A119" t="s">
        <v>464</v>
      </c>
      <c r="B119">
        <v>77.78</v>
      </c>
      <c r="C119">
        <v>77.89</v>
      </c>
      <c r="D119">
        <v>79.39</v>
      </c>
      <c r="E119">
        <v>77.459999999999994</v>
      </c>
      <c r="F119" t="s">
        <v>465</v>
      </c>
      <c r="G119" s="50">
        <v>-2.8E-3</v>
      </c>
    </row>
    <row r="120" spans="1:7" x14ac:dyDescent="0.25">
      <c r="A120" t="s">
        <v>466</v>
      </c>
      <c r="B120">
        <v>78</v>
      </c>
      <c r="C120">
        <v>76.58</v>
      </c>
      <c r="D120">
        <v>78.67</v>
      </c>
      <c r="E120">
        <v>75.84</v>
      </c>
      <c r="F120" t="s">
        <v>467</v>
      </c>
      <c r="G120" s="50">
        <v>8.0000000000000002E-3</v>
      </c>
    </row>
    <row r="121" spans="1:7" x14ac:dyDescent="0.25">
      <c r="A121" t="s">
        <v>468</v>
      </c>
      <c r="B121">
        <v>77.38</v>
      </c>
      <c r="C121">
        <v>77.95</v>
      </c>
      <c r="D121">
        <v>79.5</v>
      </c>
      <c r="E121">
        <v>76.650000000000006</v>
      </c>
      <c r="F121" t="s">
        <v>469</v>
      </c>
      <c r="G121" s="50">
        <v>4.6199999999999998E-2</v>
      </c>
    </row>
    <row r="122" spans="1:7" x14ac:dyDescent="0.25">
      <c r="A122" t="s">
        <v>470</v>
      </c>
      <c r="B122">
        <v>73.959999999999994</v>
      </c>
      <c r="C122">
        <v>71.900000000000006</v>
      </c>
      <c r="D122">
        <v>74.209999999999994</v>
      </c>
      <c r="E122">
        <v>71.72</v>
      </c>
      <c r="F122" t="s">
        <v>471</v>
      </c>
      <c r="G122" s="50">
        <v>3.1399999999999997E-2</v>
      </c>
    </row>
    <row r="123" spans="1:7" x14ac:dyDescent="0.25">
      <c r="A123" t="s">
        <v>472</v>
      </c>
      <c r="B123">
        <v>71.709999999999994</v>
      </c>
      <c r="C123">
        <v>71.739999999999995</v>
      </c>
      <c r="D123">
        <v>72.25</v>
      </c>
      <c r="E123">
        <v>71.099999999999994</v>
      </c>
      <c r="F123" t="s">
        <v>473</v>
      </c>
      <c r="G123" s="50">
        <v>-5.3E-3</v>
      </c>
    </row>
    <row r="124" spans="1:7" x14ac:dyDescent="0.25">
      <c r="A124" t="s">
        <v>474</v>
      </c>
      <c r="B124">
        <v>72.09</v>
      </c>
      <c r="C124">
        <v>71.760000000000005</v>
      </c>
      <c r="D124">
        <v>72.5</v>
      </c>
      <c r="E124">
        <v>71.150000000000006</v>
      </c>
      <c r="F124" t="s">
        <v>475</v>
      </c>
      <c r="G124" s="50">
        <v>1.44E-2</v>
      </c>
    </row>
    <row r="125" spans="1:7" x14ac:dyDescent="0.25">
      <c r="A125" t="s">
        <v>476</v>
      </c>
      <c r="B125">
        <v>71.069999999999993</v>
      </c>
      <c r="C125">
        <v>71.39</v>
      </c>
      <c r="D125">
        <v>71.58</v>
      </c>
      <c r="E125">
        <v>70.540000000000006</v>
      </c>
      <c r="F125" t="s">
        <v>477</v>
      </c>
      <c r="G125" s="50">
        <v>4.0000000000000002E-4</v>
      </c>
    </row>
    <row r="126" spans="1:7" x14ac:dyDescent="0.25">
      <c r="A126" t="s">
        <v>478</v>
      </c>
      <c r="B126">
        <v>71.040000000000006</v>
      </c>
      <c r="C126">
        <v>71.709999999999994</v>
      </c>
      <c r="D126">
        <v>72.23</v>
      </c>
      <c r="E126">
        <v>70.69</v>
      </c>
      <c r="F126" t="s">
        <v>479</v>
      </c>
      <c r="G126" s="50">
        <v>-1.47E-2</v>
      </c>
    </row>
    <row r="127" spans="1:7" x14ac:dyDescent="0.25">
      <c r="A127" t="s">
        <v>480</v>
      </c>
      <c r="B127">
        <v>72.099999999999994</v>
      </c>
      <c r="C127">
        <v>72.22</v>
      </c>
      <c r="D127">
        <v>72.58</v>
      </c>
      <c r="E127">
        <v>71.34</v>
      </c>
      <c r="F127" t="s">
        <v>481</v>
      </c>
      <c r="G127" s="50">
        <v>-3.0000000000000001E-3</v>
      </c>
    </row>
    <row r="128" spans="1:7" x14ac:dyDescent="0.25">
      <c r="A128" t="s">
        <v>482</v>
      </c>
      <c r="B128">
        <v>72.319999999999993</v>
      </c>
      <c r="C128">
        <v>73.900000000000006</v>
      </c>
      <c r="D128">
        <v>73.989999999999995</v>
      </c>
      <c r="E128">
        <v>71.98</v>
      </c>
      <c r="F128" t="s">
        <v>483</v>
      </c>
      <c r="G128" s="50">
        <v>-2.86E-2</v>
      </c>
    </row>
    <row r="129" spans="1:7" x14ac:dyDescent="0.25">
      <c r="A129" t="s">
        <v>484</v>
      </c>
      <c r="B129">
        <v>74.45</v>
      </c>
      <c r="C129">
        <v>74.61</v>
      </c>
      <c r="D129">
        <v>74.84</v>
      </c>
      <c r="E129">
        <v>73.62</v>
      </c>
      <c r="F129" t="s">
        <v>485</v>
      </c>
      <c r="G129" s="50">
        <v>1.83E-2</v>
      </c>
    </row>
    <row r="130" spans="1:7" x14ac:dyDescent="0.25">
      <c r="A130" t="s">
        <v>486</v>
      </c>
      <c r="B130">
        <v>73.11</v>
      </c>
      <c r="C130">
        <v>72.72</v>
      </c>
      <c r="D130">
        <v>73.48</v>
      </c>
      <c r="E130">
        <v>72.430000000000007</v>
      </c>
      <c r="F130" t="s">
        <v>487</v>
      </c>
      <c r="G130" s="50">
        <v>2.7000000000000001E-3</v>
      </c>
    </row>
    <row r="131" spans="1:7" x14ac:dyDescent="0.25">
      <c r="A131" t="s">
        <v>488</v>
      </c>
      <c r="B131">
        <v>72.91</v>
      </c>
      <c r="C131">
        <v>71.37</v>
      </c>
      <c r="D131">
        <v>73.11</v>
      </c>
      <c r="E131">
        <v>71.34</v>
      </c>
      <c r="F131" t="s">
        <v>489</v>
      </c>
      <c r="G131" s="50">
        <v>2.2200000000000001E-2</v>
      </c>
    </row>
    <row r="132" spans="1:7" x14ac:dyDescent="0.25">
      <c r="A132" t="s">
        <v>490</v>
      </c>
      <c r="B132">
        <v>71.33</v>
      </c>
      <c r="C132">
        <v>72.680000000000007</v>
      </c>
      <c r="D132">
        <v>72.819999999999993</v>
      </c>
      <c r="E132">
        <v>70.92</v>
      </c>
      <c r="F132" t="s">
        <v>418</v>
      </c>
      <c r="G132" s="50">
        <v>-1.78E-2</v>
      </c>
    </row>
    <row r="133" spans="1:7" x14ac:dyDescent="0.25">
      <c r="A133" t="s">
        <v>491</v>
      </c>
      <c r="B133">
        <v>72.62</v>
      </c>
      <c r="C133">
        <v>71.2</v>
      </c>
      <c r="D133">
        <v>72.680000000000007</v>
      </c>
      <c r="E133">
        <v>71.03</v>
      </c>
      <c r="F133" t="s">
        <v>492</v>
      </c>
      <c r="G133" s="50">
        <v>1.72E-2</v>
      </c>
    </row>
    <row r="134" spans="1:7" x14ac:dyDescent="0.25">
      <c r="A134" t="s">
        <v>493</v>
      </c>
      <c r="B134">
        <v>71.39</v>
      </c>
      <c r="C134">
        <v>70.540000000000006</v>
      </c>
      <c r="D134">
        <v>71.459999999999994</v>
      </c>
      <c r="E134">
        <v>70.430000000000007</v>
      </c>
      <c r="F134" t="s">
        <v>494</v>
      </c>
      <c r="G134" s="50">
        <v>1.0800000000000001E-2</v>
      </c>
    </row>
    <row r="135" spans="1:7" x14ac:dyDescent="0.25">
      <c r="A135" t="s">
        <v>495</v>
      </c>
      <c r="B135">
        <v>70.63</v>
      </c>
      <c r="C135">
        <v>70.64</v>
      </c>
      <c r="D135">
        <v>70.94</v>
      </c>
      <c r="E135">
        <v>70.06</v>
      </c>
      <c r="F135" t="s">
        <v>496</v>
      </c>
      <c r="G135" s="50">
        <v>5.1000000000000004E-3</v>
      </c>
    </row>
    <row r="136" spans="1:7" x14ac:dyDescent="0.25">
      <c r="A136" t="s">
        <v>497</v>
      </c>
      <c r="B136">
        <v>70.27</v>
      </c>
      <c r="C136">
        <v>70.599999999999994</v>
      </c>
      <c r="D136">
        <v>71.239999999999995</v>
      </c>
      <c r="E136">
        <v>70.23</v>
      </c>
      <c r="F136" t="s">
        <v>263</v>
      </c>
      <c r="G136" s="50">
        <v>-5.4999999999999997E-3</v>
      </c>
    </row>
    <row r="137" spans="1:7" x14ac:dyDescent="0.25">
      <c r="A137" t="s">
        <v>498</v>
      </c>
      <c r="B137">
        <v>70.66</v>
      </c>
      <c r="C137">
        <v>70.86</v>
      </c>
      <c r="D137">
        <v>70.97</v>
      </c>
      <c r="E137">
        <v>69.849999999999994</v>
      </c>
      <c r="F137" t="s">
        <v>499</v>
      </c>
      <c r="G137" s="50">
        <v>-8.0000000000000004E-4</v>
      </c>
    </row>
    <row r="138" spans="1:7" x14ac:dyDescent="0.25">
      <c r="A138" t="s">
        <v>500</v>
      </c>
      <c r="B138">
        <v>70.72</v>
      </c>
      <c r="C138">
        <v>70.58</v>
      </c>
      <c r="D138">
        <v>71.239999999999995</v>
      </c>
      <c r="E138">
        <v>70.38</v>
      </c>
      <c r="F138" t="s">
        <v>501</v>
      </c>
      <c r="G138" s="50">
        <v>1E-3</v>
      </c>
    </row>
    <row r="139" spans="1:7" x14ac:dyDescent="0.25">
      <c r="A139" t="s">
        <v>502</v>
      </c>
      <c r="B139">
        <v>70.650000000000006</v>
      </c>
      <c r="C139">
        <v>70.12</v>
      </c>
      <c r="D139">
        <v>70.97</v>
      </c>
      <c r="E139">
        <v>70.12</v>
      </c>
      <c r="F139" t="s">
        <v>503</v>
      </c>
      <c r="G139" s="50">
        <v>7.4000000000000003E-3</v>
      </c>
    </row>
    <row r="140" spans="1:7" x14ac:dyDescent="0.25">
      <c r="A140" t="s">
        <v>504</v>
      </c>
      <c r="B140">
        <v>70.13</v>
      </c>
      <c r="C140">
        <v>69.06</v>
      </c>
      <c r="D140">
        <v>70.77</v>
      </c>
      <c r="E140">
        <v>68.95</v>
      </c>
      <c r="F140" t="s">
        <v>505</v>
      </c>
      <c r="G140" s="50">
        <v>1.5100000000000001E-2</v>
      </c>
    </row>
    <row r="141" spans="1:7" x14ac:dyDescent="0.25">
      <c r="A141" t="s">
        <v>506</v>
      </c>
      <c r="B141">
        <v>69.09</v>
      </c>
      <c r="C141">
        <v>69.78</v>
      </c>
      <c r="D141">
        <v>70.069999999999993</v>
      </c>
      <c r="E141">
        <v>68.569999999999993</v>
      </c>
      <c r="F141" t="s">
        <v>407</v>
      </c>
      <c r="G141" s="50">
        <v>-6.1999999999999998E-3</v>
      </c>
    </row>
    <row r="142" spans="1:7" x14ac:dyDescent="0.25">
      <c r="A142" t="s">
        <v>507</v>
      </c>
      <c r="B142">
        <v>69.52</v>
      </c>
      <c r="C142">
        <v>69.31</v>
      </c>
      <c r="D142">
        <v>70.3</v>
      </c>
      <c r="E142">
        <v>68.819999999999993</v>
      </c>
      <c r="F142" t="s">
        <v>508</v>
      </c>
      <c r="G142" s="50">
        <v>1.2500000000000001E-2</v>
      </c>
    </row>
    <row r="143" spans="1:7" x14ac:dyDescent="0.25">
      <c r="A143" t="s">
        <v>509</v>
      </c>
      <c r="B143">
        <v>68.66</v>
      </c>
      <c r="C143">
        <v>67.11</v>
      </c>
      <c r="D143">
        <v>69.16</v>
      </c>
      <c r="E143">
        <v>66.81</v>
      </c>
      <c r="F143" t="s">
        <v>510</v>
      </c>
      <c r="G143" s="50">
        <v>1.78E-2</v>
      </c>
    </row>
    <row r="144" spans="1:7" x14ac:dyDescent="0.25">
      <c r="A144" t="s">
        <v>511</v>
      </c>
      <c r="B144">
        <v>67.459999999999994</v>
      </c>
      <c r="C144">
        <v>68.55</v>
      </c>
      <c r="D144">
        <v>68.89</v>
      </c>
      <c r="E144">
        <v>67.13</v>
      </c>
      <c r="F144" t="s">
        <v>512</v>
      </c>
      <c r="G144" s="50">
        <v>-7.1000000000000004E-3</v>
      </c>
    </row>
    <row r="145" spans="1:7" x14ac:dyDescent="0.25">
      <c r="A145" t="s">
        <v>513</v>
      </c>
      <c r="B145">
        <v>67.94</v>
      </c>
      <c r="C145">
        <v>70.41</v>
      </c>
      <c r="D145">
        <v>70.81</v>
      </c>
      <c r="E145">
        <v>67.89</v>
      </c>
      <c r="F145" t="s">
        <v>514</v>
      </c>
      <c r="G145" s="50">
        <v>-2.8899999999999999E-2</v>
      </c>
    </row>
    <row r="146" spans="1:7" x14ac:dyDescent="0.25">
      <c r="A146" t="s">
        <v>515</v>
      </c>
      <c r="B146">
        <v>69.959999999999994</v>
      </c>
      <c r="C146">
        <v>70.31</v>
      </c>
      <c r="D146">
        <v>70.62</v>
      </c>
      <c r="E146">
        <v>69.03</v>
      </c>
      <c r="F146" t="s">
        <v>516</v>
      </c>
      <c r="G146" s="50">
        <v>-5.3E-3</v>
      </c>
    </row>
    <row r="147" spans="1:7" x14ac:dyDescent="0.25">
      <c r="A147" t="s">
        <v>517</v>
      </c>
      <c r="B147">
        <v>70.33</v>
      </c>
      <c r="C147">
        <v>69.81</v>
      </c>
      <c r="D147">
        <v>70.75</v>
      </c>
      <c r="E147">
        <v>69</v>
      </c>
      <c r="F147" t="s">
        <v>518</v>
      </c>
      <c r="G147" s="50">
        <v>1.95E-2</v>
      </c>
    </row>
    <row r="148" spans="1:7" x14ac:dyDescent="0.25">
      <c r="A148" t="s">
        <v>519</v>
      </c>
      <c r="B148">
        <v>68.989999999999995</v>
      </c>
      <c r="C148">
        <v>68.92</v>
      </c>
      <c r="D148">
        <v>69.22</v>
      </c>
      <c r="E148">
        <v>68.44</v>
      </c>
      <c r="F148" t="s">
        <v>520</v>
      </c>
      <c r="G148" s="50">
        <v>1.1000000000000001E-3</v>
      </c>
    </row>
    <row r="149" spans="1:7" x14ac:dyDescent="0.25">
      <c r="A149" t="s">
        <v>521</v>
      </c>
      <c r="B149">
        <v>68.91</v>
      </c>
      <c r="C149">
        <v>68.430000000000007</v>
      </c>
      <c r="D149">
        <v>68.95</v>
      </c>
      <c r="E149">
        <v>67.81</v>
      </c>
      <c r="F149" t="s">
        <v>522</v>
      </c>
      <c r="G149" s="50">
        <v>1.46E-2</v>
      </c>
    </row>
    <row r="150" spans="1:7" x14ac:dyDescent="0.25">
      <c r="A150" t="s">
        <v>523</v>
      </c>
      <c r="B150">
        <v>67.92</v>
      </c>
      <c r="C150">
        <v>67.95</v>
      </c>
      <c r="D150">
        <v>68.58</v>
      </c>
      <c r="E150">
        <v>67.650000000000006</v>
      </c>
      <c r="F150" t="s">
        <v>524</v>
      </c>
      <c r="G150" s="50">
        <v>-5.7000000000000002E-3</v>
      </c>
    </row>
    <row r="151" spans="1:7" x14ac:dyDescent="0.25">
      <c r="A151" t="s">
        <v>525</v>
      </c>
      <c r="B151">
        <v>68.31</v>
      </c>
      <c r="C151">
        <v>69.180000000000007</v>
      </c>
      <c r="D151">
        <v>69.489999999999995</v>
      </c>
      <c r="E151">
        <v>68.25</v>
      </c>
      <c r="F151" t="s">
        <v>526</v>
      </c>
      <c r="G151" s="50">
        <v>-6.4000000000000003E-3</v>
      </c>
    </row>
    <row r="152" spans="1:7" x14ac:dyDescent="0.25">
      <c r="A152" t="s">
        <v>527</v>
      </c>
      <c r="B152">
        <v>68.75</v>
      </c>
      <c r="C152">
        <v>67.900000000000006</v>
      </c>
      <c r="D152">
        <v>68.819999999999993</v>
      </c>
      <c r="E152">
        <v>67.69</v>
      </c>
      <c r="F152" t="s">
        <v>447</v>
      </c>
      <c r="G152" s="50">
        <v>4.7999999999999996E-3</v>
      </c>
    </row>
    <row r="153" spans="1:7" x14ac:dyDescent="0.25">
      <c r="A153" t="s">
        <v>528</v>
      </c>
      <c r="B153">
        <v>68.42</v>
      </c>
      <c r="C153">
        <v>67.709999999999994</v>
      </c>
      <c r="D153">
        <v>68.77</v>
      </c>
      <c r="E153">
        <v>67.69</v>
      </c>
      <c r="F153" t="s">
        <v>529</v>
      </c>
      <c r="G153" s="50">
        <v>1.03E-2</v>
      </c>
    </row>
    <row r="154" spans="1:7" x14ac:dyDescent="0.25">
      <c r="A154" t="s">
        <v>530</v>
      </c>
      <c r="B154">
        <v>67.72</v>
      </c>
      <c r="C154">
        <v>67.709999999999994</v>
      </c>
      <c r="D154">
        <v>67.95</v>
      </c>
      <c r="E154">
        <v>67.44</v>
      </c>
      <c r="F154" t="s">
        <v>531</v>
      </c>
      <c r="G154" s="50">
        <v>7.4000000000000003E-3</v>
      </c>
    </row>
    <row r="155" spans="1:7" x14ac:dyDescent="0.25">
      <c r="A155" t="s">
        <v>532</v>
      </c>
      <c r="B155">
        <v>67.22</v>
      </c>
      <c r="C155">
        <v>67.87</v>
      </c>
      <c r="D155">
        <v>67.91</v>
      </c>
      <c r="E155">
        <v>66.849999999999994</v>
      </c>
      <c r="F155" t="s">
        <v>533</v>
      </c>
      <c r="G155" s="50">
        <v>-9.2999999999999992E-3</v>
      </c>
    </row>
    <row r="156" spans="1:7" x14ac:dyDescent="0.25">
      <c r="A156" t="s">
        <v>534</v>
      </c>
      <c r="B156">
        <v>67.849999999999994</v>
      </c>
      <c r="C156">
        <v>67.319999999999993</v>
      </c>
      <c r="D156">
        <v>68.239999999999995</v>
      </c>
      <c r="E156">
        <v>67.11</v>
      </c>
      <c r="F156" t="s">
        <v>483</v>
      </c>
      <c r="G156" s="50">
        <v>7.9000000000000008E-3</v>
      </c>
    </row>
    <row r="157" spans="1:7" x14ac:dyDescent="0.25">
      <c r="A157" t="s">
        <v>535</v>
      </c>
      <c r="B157">
        <v>67.319999999999993</v>
      </c>
      <c r="C157">
        <v>67.7</v>
      </c>
      <c r="D157">
        <v>67.86</v>
      </c>
      <c r="E157">
        <v>66.89</v>
      </c>
      <c r="F157" t="s">
        <v>536</v>
      </c>
      <c r="G157" s="50">
        <v>-3.3E-3</v>
      </c>
    </row>
    <row r="158" spans="1:7" x14ac:dyDescent="0.25">
      <c r="A158" t="s">
        <v>537</v>
      </c>
      <c r="B158">
        <v>67.540000000000006</v>
      </c>
      <c r="C158">
        <v>67.58</v>
      </c>
      <c r="D158">
        <v>68.22</v>
      </c>
      <c r="E158">
        <v>67.069999999999993</v>
      </c>
      <c r="F158" t="s">
        <v>538</v>
      </c>
      <c r="G158" s="50">
        <v>-3.0999999999999999E-3</v>
      </c>
    </row>
    <row r="159" spans="1:7" x14ac:dyDescent="0.25">
      <c r="A159" t="s">
        <v>539</v>
      </c>
      <c r="B159">
        <v>67.75</v>
      </c>
      <c r="C159">
        <v>67.86</v>
      </c>
      <c r="D159">
        <v>68</v>
      </c>
      <c r="E159">
        <v>67.3</v>
      </c>
      <c r="F159" t="s">
        <v>540</v>
      </c>
      <c r="G159" s="50">
        <v>-6.7000000000000002E-3</v>
      </c>
    </row>
    <row r="160" spans="1:7" x14ac:dyDescent="0.25">
      <c r="A160" t="s">
        <v>541</v>
      </c>
      <c r="B160">
        <v>68.209999999999994</v>
      </c>
      <c r="C160">
        <v>68.92</v>
      </c>
      <c r="D160">
        <v>68.92</v>
      </c>
      <c r="E160">
        <v>67.180000000000007</v>
      </c>
      <c r="F160" t="s">
        <v>542</v>
      </c>
      <c r="G160" s="50">
        <v>-6.7999999999999996E-3</v>
      </c>
    </row>
    <row r="161" spans="1:7" x14ac:dyDescent="0.25">
      <c r="A161" t="s">
        <v>543</v>
      </c>
      <c r="B161">
        <v>68.680000000000007</v>
      </c>
      <c r="C161">
        <v>67.900000000000006</v>
      </c>
      <c r="D161">
        <v>68.760000000000005</v>
      </c>
      <c r="E161">
        <v>67.48</v>
      </c>
      <c r="F161" t="s">
        <v>544</v>
      </c>
      <c r="G161" s="50">
        <v>1.4200000000000001E-2</v>
      </c>
    </row>
    <row r="162" spans="1:7" x14ac:dyDescent="0.25">
      <c r="A162" t="s">
        <v>545</v>
      </c>
      <c r="B162">
        <v>67.72</v>
      </c>
      <c r="C162">
        <v>67</v>
      </c>
      <c r="D162">
        <v>67.88</v>
      </c>
      <c r="E162">
        <v>66.38</v>
      </c>
      <c r="F162" t="s">
        <v>257</v>
      </c>
      <c r="G162" s="50">
        <v>1.18E-2</v>
      </c>
    </row>
    <row r="163" spans="1:7" x14ac:dyDescent="0.25">
      <c r="A163" t="s">
        <v>546</v>
      </c>
      <c r="B163">
        <v>66.930000000000007</v>
      </c>
      <c r="C163">
        <v>67.02</v>
      </c>
      <c r="D163">
        <v>67.38</v>
      </c>
      <c r="E163">
        <v>66.55</v>
      </c>
      <c r="F163" t="s">
        <v>418</v>
      </c>
      <c r="G163" s="50">
        <v>-1.2999999999999999E-3</v>
      </c>
    </row>
    <row r="164" spans="1:7" x14ac:dyDescent="0.25">
      <c r="A164" t="s">
        <v>547</v>
      </c>
      <c r="B164">
        <v>67.02</v>
      </c>
      <c r="C164">
        <v>66.5</v>
      </c>
      <c r="D164">
        <v>67.2</v>
      </c>
      <c r="E164">
        <v>66.349999999999994</v>
      </c>
      <c r="F164" t="s">
        <v>548</v>
      </c>
      <c r="G164" s="50">
        <v>7.4000000000000003E-3</v>
      </c>
    </row>
    <row r="165" spans="1:7" x14ac:dyDescent="0.25">
      <c r="A165" t="s">
        <v>549</v>
      </c>
      <c r="B165">
        <v>66.53</v>
      </c>
      <c r="C165">
        <v>66.88</v>
      </c>
      <c r="D165">
        <v>67.34</v>
      </c>
      <c r="E165">
        <v>66.13</v>
      </c>
      <c r="F165" t="s">
        <v>550</v>
      </c>
      <c r="G165" s="50">
        <v>-1.7100000000000001E-2</v>
      </c>
    </row>
    <row r="166" spans="1:7" x14ac:dyDescent="0.25">
      <c r="A166" t="s">
        <v>551</v>
      </c>
      <c r="B166">
        <v>67.69</v>
      </c>
      <c r="C166">
        <v>68.31</v>
      </c>
      <c r="D166">
        <v>68.569999999999993</v>
      </c>
      <c r="E166">
        <v>67.5</v>
      </c>
      <c r="F166" t="s">
        <v>552</v>
      </c>
      <c r="G166" s="50">
        <v>-6.4999999999999997E-3</v>
      </c>
    </row>
    <row r="167" spans="1:7" x14ac:dyDescent="0.25">
      <c r="A167" t="s">
        <v>553</v>
      </c>
      <c r="B167">
        <v>68.13</v>
      </c>
      <c r="C167">
        <v>67.59</v>
      </c>
      <c r="D167">
        <v>68.319999999999993</v>
      </c>
      <c r="E167">
        <v>67.12</v>
      </c>
      <c r="F167" t="s">
        <v>554</v>
      </c>
      <c r="G167" s="50">
        <v>1.17E-2</v>
      </c>
    </row>
    <row r="168" spans="1:7" x14ac:dyDescent="0.25">
      <c r="A168" t="s">
        <v>555</v>
      </c>
      <c r="B168">
        <v>67.34</v>
      </c>
      <c r="C168">
        <v>66.739999999999995</v>
      </c>
      <c r="D168">
        <v>67.430000000000007</v>
      </c>
      <c r="E168">
        <v>66.64</v>
      </c>
      <c r="F168" t="s">
        <v>556</v>
      </c>
      <c r="G168" s="50">
        <v>6.8999999999999999E-3</v>
      </c>
    </row>
    <row r="169" spans="1:7" x14ac:dyDescent="0.25">
      <c r="A169" t="s">
        <v>557</v>
      </c>
      <c r="B169">
        <v>66.88</v>
      </c>
      <c r="C169">
        <v>66.72</v>
      </c>
      <c r="D169">
        <v>67</v>
      </c>
      <c r="E169">
        <v>66.349999999999994</v>
      </c>
      <c r="F169" t="s">
        <v>558</v>
      </c>
      <c r="G169" s="50">
        <v>-2.9999999999999997E-4</v>
      </c>
    </row>
    <row r="170" spans="1:7" x14ac:dyDescent="0.25">
      <c r="A170" t="s">
        <v>559</v>
      </c>
      <c r="B170">
        <v>66.900000000000006</v>
      </c>
      <c r="C170">
        <v>67.709999999999994</v>
      </c>
      <c r="D170">
        <v>68.099999999999994</v>
      </c>
      <c r="E170">
        <v>66.48</v>
      </c>
      <c r="F170" t="s">
        <v>560</v>
      </c>
      <c r="G170" s="50">
        <v>-1.6E-2</v>
      </c>
    </row>
    <row r="171" spans="1:7" x14ac:dyDescent="0.25">
      <c r="A171" t="s">
        <v>561</v>
      </c>
      <c r="B171">
        <v>67.989999999999995</v>
      </c>
      <c r="C171">
        <v>68.099999999999994</v>
      </c>
      <c r="D171">
        <v>68.41</v>
      </c>
      <c r="E171">
        <v>67.41</v>
      </c>
      <c r="F171" t="s">
        <v>562</v>
      </c>
      <c r="G171" s="50">
        <v>4.7000000000000002E-3</v>
      </c>
    </row>
    <row r="172" spans="1:7" x14ac:dyDescent="0.25">
      <c r="A172" t="s">
        <v>563</v>
      </c>
      <c r="B172">
        <v>67.67</v>
      </c>
      <c r="C172">
        <v>68.040000000000006</v>
      </c>
      <c r="D172">
        <v>68.13</v>
      </c>
      <c r="E172">
        <v>67.33</v>
      </c>
      <c r="F172" t="s">
        <v>564</v>
      </c>
      <c r="G172" s="50">
        <v>-1.9E-3</v>
      </c>
    </row>
    <row r="173" spans="1:7" x14ac:dyDescent="0.25">
      <c r="A173" t="s">
        <v>565</v>
      </c>
      <c r="B173">
        <v>67.8</v>
      </c>
      <c r="C173">
        <v>68.11</v>
      </c>
      <c r="D173">
        <v>68.319999999999993</v>
      </c>
      <c r="E173">
        <v>67.38</v>
      </c>
      <c r="F173" t="s">
        <v>566</v>
      </c>
      <c r="G173" s="50">
        <v>-1.8700000000000001E-2</v>
      </c>
    </row>
    <row r="174" spans="1:7" x14ac:dyDescent="0.25">
      <c r="A174" t="s">
        <v>567</v>
      </c>
      <c r="B174">
        <v>69.09</v>
      </c>
      <c r="C174">
        <v>69.11</v>
      </c>
      <c r="D174">
        <v>69.459999999999994</v>
      </c>
      <c r="E174">
        <v>68.83</v>
      </c>
      <c r="F174" t="s">
        <v>568</v>
      </c>
      <c r="G174" s="50">
        <v>-4.8999999999999998E-3</v>
      </c>
    </row>
    <row r="175" spans="1:7" x14ac:dyDescent="0.25">
      <c r="A175" t="s">
        <v>569</v>
      </c>
      <c r="B175">
        <v>69.430000000000007</v>
      </c>
      <c r="C175">
        <v>68.36</v>
      </c>
      <c r="D175">
        <v>69.58</v>
      </c>
      <c r="E175">
        <v>68.349999999999994</v>
      </c>
      <c r="F175" t="s">
        <v>570</v>
      </c>
      <c r="G175" s="50">
        <v>1.4500000000000001E-2</v>
      </c>
    </row>
    <row r="176" spans="1:7" x14ac:dyDescent="0.25">
      <c r="A176" t="s">
        <v>571</v>
      </c>
      <c r="B176">
        <v>68.44</v>
      </c>
      <c r="C176">
        <v>68.319999999999993</v>
      </c>
      <c r="D176">
        <v>68.75</v>
      </c>
      <c r="E176">
        <v>68.150000000000006</v>
      </c>
      <c r="F176" t="s">
        <v>572</v>
      </c>
      <c r="G176" s="50">
        <v>6.9999999999999999E-4</v>
      </c>
    </row>
    <row r="177" spans="1:7" x14ac:dyDescent="0.25">
      <c r="A177" t="s">
        <v>573</v>
      </c>
      <c r="B177">
        <v>68.39</v>
      </c>
      <c r="C177">
        <v>67.17</v>
      </c>
      <c r="D177">
        <v>68.75</v>
      </c>
      <c r="E177">
        <v>67.11</v>
      </c>
      <c r="F177" t="s">
        <v>574</v>
      </c>
      <c r="G177" s="50">
        <v>1.8599999999999998E-2</v>
      </c>
    </row>
    <row r="178" spans="1:7" x14ac:dyDescent="0.25">
      <c r="A178" t="s">
        <v>575</v>
      </c>
      <c r="B178">
        <v>67.14</v>
      </c>
      <c r="C178">
        <v>67.28</v>
      </c>
      <c r="D178">
        <v>67.5</v>
      </c>
      <c r="E178">
        <v>67.11</v>
      </c>
      <c r="F178" t="s">
        <v>576</v>
      </c>
      <c r="G178" s="50">
        <v>-2.7000000000000001E-3</v>
      </c>
    </row>
    <row r="179" spans="1:7" x14ac:dyDescent="0.25">
      <c r="A179" t="s">
        <v>577</v>
      </c>
      <c r="B179">
        <v>67.319999999999993</v>
      </c>
      <c r="C179">
        <v>67.33</v>
      </c>
      <c r="D179">
        <v>68.040000000000006</v>
      </c>
      <c r="E179">
        <v>67</v>
      </c>
      <c r="F179" t="s">
        <v>578</v>
      </c>
      <c r="G179" s="50">
        <v>4.4999999999999997E-3</v>
      </c>
    </row>
    <row r="180" spans="1:7" x14ac:dyDescent="0.25">
      <c r="A180" t="s">
        <v>579</v>
      </c>
      <c r="B180">
        <v>67.02</v>
      </c>
      <c r="C180">
        <v>67.099999999999994</v>
      </c>
      <c r="D180">
        <v>67.22</v>
      </c>
      <c r="E180">
        <v>66.47</v>
      </c>
      <c r="F180" t="s">
        <v>580</v>
      </c>
      <c r="G180" s="50">
        <v>-1.2999999999999999E-3</v>
      </c>
    </row>
    <row r="181" spans="1:7" x14ac:dyDescent="0.25">
      <c r="A181" t="s">
        <v>581</v>
      </c>
      <c r="B181">
        <v>67.11</v>
      </c>
      <c r="C181">
        <v>66.819999999999993</v>
      </c>
      <c r="D181">
        <v>67.180000000000007</v>
      </c>
      <c r="E181">
        <v>66.540000000000006</v>
      </c>
      <c r="F181" t="s">
        <v>568</v>
      </c>
      <c r="G181" s="50">
        <v>5.1999999999999998E-3</v>
      </c>
    </row>
    <row r="182" spans="1:7" x14ac:dyDescent="0.25">
      <c r="A182" t="s">
        <v>582</v>
      </c>
      <c r="B182">
        <v>66.760000000000005</v>
      </c>
      <c r="C182">
        <v>66.760000000000005</v>
      </c>
      <c r="D182">
        <v>67.52</v>
      </c>
      <c r="E182">
        <v>66.48</v>
      </c>
      <c r="F182" t="s">
        <v>583</v>
      </c>
      <c r="G182" s="50">
        <v>-2.8E-3</v>
      </c>
    </row>
    <row r="183" spans="1:7" x14ac:dyDescent="0.25">
      <c r="A183" t="s">
        <v>584</v>
      </c>
      <c r="B183">
        <v>66.95</v>
      </c>
      <c r="C183">
        <v>66.08</v>
      </c>
      <c r="D183">
        <v>67.11</v>
      </c>
      <c r="E183">
        <v>65.75</v>
      </c>
      <c r="F183" t="s">
        <v>585</v>
      </c>
      <c r="G183" s="50">
        <v>1.1299999999999999E-2</v>
      </c>
    </row>
    <row r="184" spans="1:7" x14ac:dyDescent="0.25">
      <c r="A184" t="s">
        <v>586</v>
      </c>
      <c r="B184">
        <v>66.2</v>
      </c>
      <c r="C184">
        <v>68.45</v>
      </c>
      <c r="D184">
        <v>68.650000000000006</v>
      </c>
      <c r="E184">
        <v>65.86</v>
      </c>
      <c r="F184" t="s">
        <v>587</v>
      </c>
      <c r="G184" s="50">
        <v>-4.4699999999999997E-2</v>
      </c>
    </row>
    <row r="185" spans="1:7" x14ac:dyDescent="0.25">
      <c r="A185" t="s">
        <v>588</v>
      </c>
      <c r="B185">
        <v>69.3</v>
      </c>
      <c r="C185">
        <v>68</v>
      </c>
      <c r="D185">
        <v>70.61</v>
      </c>
      <c r="E185">
        <v>67.48</v>
      </c>
      <c r="F185" t="s">
        <v>589</v>
      </c>
      <c r="G185" s="50">
        <v>-1.5599999999999999E-2</v>
      </c>
    </row>
    <row r="186" spans="1:7" x14ac:dyDescent="0.25">
      <c r="A186" t="s">
        <v>590</v>
      </c>
      <c r="B186">
        <v>70.400000000000006</v>
      </c>
      <c r="C186">
        <v>71.86</v>
      </c>
      <c r="D186">
        <v>72.03</v>
      </c>
      <c r="E186">
        <v>70.25</v>
      </c>
      <c r="F186" t="s">
        <v>591</v>
      </c>
      <c r="G186" s="50">
        <v>-1.37E-2</v>
      </c>
    </row>
    <row r="187" spans="1:7" x14ac:dyDescent="0.25">
      <c r="A187" t="s">
        <v>592</v>
      </c>
      <c r="B187">
        <v>71.38</v>
      </c>
      <c r="C187">
        <v>70.790000000000006</v>
      </c>
      <c r="D187">
        <v>71.5</v>
      </c>
      <c r="E187">
        <v>70.56</v>
      </c>
      <c r="F187" t="s">
        <v>593</v>
      </c>
      <c r="G187" s="50">
        <v>0.01</v>
      </c>
    </row>
    <row r="188" spans="1:7" x14ac:dyDescent="0.25">
      <c r="A188" t="s">
        <v>594</v>
      </c>
      <c r="B188">
        <v>70.67</v>
      </c>
      <c r="C188">
        <v>72.3</v>
      </c>
      <c r="D188">
        <v>72.55</v>
      </c>
      <c r="E188">
        <v>70.34</v>
      </c>
      <c r="F188" t="s">
        <v>595</v>
      </c>
      <c r="G188" s="50">
        <v>-1.5599999999999999E-2</v>
      </c>
    </row>
    <row r="189" spans="1:7" x14ac:dyDescent="0.25">
      <c r="A189" t="s">
        <v>596</v>
      </c>
      <c r="B189">
        <v>71.790000000000006</v>
      </c>
      <c r="C189">
        <v>70.239999999999995</v>
      </c>
      <c r="D189">
        <v>72.02</v>
      </c>
      <c r="E189">
        <v>70.209999999999994</v>
      </c>
      <c r="F189" t="s">
        <v>597</v>
      </c>
      <c r="G189" s="50">
        <v>2.7E-2</v>
      </c>
    </row>
    <row r="190" spans="1:7" x14ac:dyDescent="0.25">
      <c r="A190" t="s">
        <v>598</v>
      </c>
      <c r="B190">
        <v>69.900000000000006</v>
      </c>
      <c r="C190">
        <v>69.8</v>
      </c>
      <c r="D190">
        <v>70.14</v>
      </c>
      <c r="E190">
        <v>69.209999999999994</v>
      </c>
      <c r="F190" t="s">
        <v>599</v>
      </c>
      <c r="G190" s="50">
        <v>0.01</v>
      </c>
    </row>
    <row r="191" spans="1:7" x14ac:dyDescent="0.25">
      <c r="A191" t="s">
        <v>600</v>
      </c>
      <c r="B191">
        <v>69.209999999999994</v>
      </c>
      <c r="C191">
        <v>67.959999999999994</v>
      </c>
      <c r="D191">
        <v>69.349999999999994</v>
      </c>
      <c r="E191">
        <v>67.760000000000005</v>
      </c>
      <c r="F191" t="s">
        <v>601</v>
      </c>
      <c r="G191" s="50">
        <v>2.5000000000000001E-2</v>
      </c>
    </row>
    <row r="192" spans="1:7" x14ac:dyDescent="0.25">
      <c r="A192" t="s">
        <v>602</v>
      </c>
      <c r="B192">
        <v>67.52</v>
      </c>
      <c r="C192">
        <v>68.69</v>
      </c>
      <c r="D192">
        <v>68.87</v>
      </c>
      <c r="E192">
        <v>67.44</v>
      </c>
      <c r="F192" t="s">
        <v>245</v>
      </c>
      <c r="G192" s="50">
        <v>-1.4200000000000001E-2</v>
      </c>
    </row>
    <row r="193" spans="1:7" x14ac:dyDescent="0.25">
      <c r="A193" t="s">
        <v>603</v>
      </c>
      <c r="B193">
        <v>68.489999999999995</v>
      </c>
      <c r="C193">
        <v>67.760000000000005</v>
      </c>
      <c r="D193">
        <v>68.510000000000005</v>
      </c>
      <c r="E193">
        <v>67.61</v>
      </c>
      <c r="F193" t="s">
        <v>604</v>
      </c>
      <c r="G193" s="50">
        <v>2.06E-2</v>
      </c>
    </row>
    <row r="194" spans="1:7" x14ac:dyDescent="0.25">
      <c r="A194" t="s">
        <v>605</v>
      </c>
      <c r="B194">
        <v>67.11</v>
      </c>
      <c r="C194">
        <v>67.510000000000005</v>
      </c>
      <c r="D194">
        <v>67.61</v>
      </c>
      <c r="E194">
        <v>66.52</v>
      </c>
      <c r="F194" t="s">
        <v>606</v>
      </c>
      <c r="G194" s="50">
        <v>-1.4200000000000001E-2</v>
      </c>
    </row>
    <row r="195" spans="1:7" x14ac:dyDescent="0.25">
      <c r="A195" t="s">
        <v>607</v>
      </c>
      <c r="B195">
        <v>68.08</v>
      </c>
      <c r="C195">
        <v>68.31</v>
      </c>
      <c r="D195">
        <v>69.14</v>
      </c>
      <c r="E195">
        <v>67.88</v>
      </c>
      <c r="F195" t="s">
        <v>550</v>
      </c>
      <c r="G195" s="50">
        <v>-2.8999999999999998E-3</v>
      </c>
    </row>
    <row r="196" spans="1:7" x14ac:dyDescent="0.25">
      <c r="A196" t="s">
        <v>608</v>
      </c>
      <c r="B196">
        <v>68.28</v>
      </c>
      <c r="C196">
        <v>67.84</v>
      </c>
      <c r="D196">
        <v>68.569999999999993</v>
      </c>
      <c r="E196">
        <v>67.349999999999994</v>
      </c>
      <c r="F196" t="s">
        <v>609</v>
      </c>
      <c r="G196" s="50">
        <v>4.5999999999999999E-3</v>
      </c>
    </row>
    <row r="197" spans="1:7" x14ac:dyDescent="0.25">
      <c r="A197" t="s">
        <v>610</v>
      </c>
      <c r="B197">
        <v>67.959999999999994</v>
      </c>
      <c r="C197">
        <v>68.23</v>
      </c>
      <c r="D197">
        <v>68.72</v>
      </c>
      <c r="E197">
        <v>67.819999999999993</v>
      </c>
      <c r="F197" t="s">
        <v>570</v>
      </c>
      <c r="G197" s="50">
        <v>5.9999999999999995E-4</v>
      </c>
    </row>
    <row r="198" spans="1:7" x14ac:dyDescent="0.25">
      <c r="A198" s="38" t="s">
        <v>611</v>
      </c>
      <c r="B198" s="38">
        <v>67.92</v>
      </c>
      <c r="C198">
        <v>67.75</v>
      </c>
      <c r="D198">
        <v>67.959999999999994</v>
      </c>
      <c r="E198">
        <v>67.37</v>
      </c>
      <c r="F198" t="s">
        <v>289</v>
      </c>
      <c r="G198" s="50">
        <v>-1.12E-2</v>
      </c>
    </row>
    <row r="199" spans="1:7" x14ac:dyDescent="0.25">
      <c r="A199" t="s">
        <v>612</v>
      </c>
      <c r="B199">
        <v>68.69</v>
      </c>
      <c r="C199">
        <v>68.38</v>
      </c>
      <c r="D199">
        <v>68.819999999999993</v>
      </c>
      <c r="E199">
        <v>68.069999999999993</v>
      </c>
      <c r="F199" t="s">
        <v>613</v>
      </c>
      <c r="G199" s="50">
        <v>5.8999999999999999E-3</v>
      </c>
    </row>
    <row r="200" spans="1:7" x14ac:dyDescent="0.25">
      <c r="A200" t="s">
        <v>614</v>
      </c>
      <c r="B200">
        <v>68.290000000000006</v>
      </c>
      <c r="C200">
        <v>68.36</v>
      </c>
      <c r="D200">
        <v>68.59</v>
      </c>
      <c r="E200">
        <v>67.92</v>
      </c>
      <c r="F200" t="s">
        <v>615</v>
      </c>
      <c r="G200" s="50">
        <v>-4.7999999999999996E-3</v>
      </c>
    </row>
    <row r="201" spans="1:7" x14ac:dyDescent="0.25">
      <c r="A201" t="s">
        <v>616</v>
      </c>
      <c r="B201">
        <v>68.62</v>
      </c>
      <c r="C201">
        <v>68.349999999999994</v>
      </c>
      <c r="D201">
        <v>68.83</v>
      </c>
      <c r="E201">
        <v>68.06</v>
      </c>
      <c r="F201" t="s">
        <v>617</v>
      </c>
      <c r="G201" s="50">
        <v>6.7000000000000002E-3</v>
      </c>
    </row>
    <row r="202" spans="1:7" x14ac:dyDescent="0.25">
      <c r="A202" t="s">
        <v>618</v>
      </c>
      <c r="B202">
        <v>68.16</v>
      </c>
      <c r="C202">
        <v>68.34</v>
      </c>
      <c r="D202">
        <v>68.599999999999994</v>
      </c>
      <c r="E202">
        <v>68.069999999999993</v>
      </c>
      <c r="F202" t="s">
        <v>619</v>
      </c>
      <c r="G202" s="50">
        <v>-2.5999999999999999E-3</v>
      </c>
    </row>
    <row r="203" spans="1:7" x14ac:dyDescent="0.25">
      <c r="A203" t="s">
        <v>620</v>
      </c>
      <c r="B203">
        <v>68.34</v>
      </c>
      <c r="C203">
        <v>67.900000000000006</v>
      </c>
      <c r="D203">
        <v>68.62</v>
      </c>
      <c r="E203">
        <v>67.790000000000006</v>
      </c>
      <c r="F203" t="s">
        <v>621</v>
      </c>
      <c r="G203" s="50">
        <v>4.3E-3</v>
      </c>
    </row>
    <row r="204" spans="1:7" x14ac:dyDescent="0.25">
      <c r="A204" t="s">
        <v>622</v>
      </c>
      <c r="B204">
        <v>68.05</v>
      </c>
      <c r="C204">
        <v>68.78</v>
      </c>
      <c r="D204">
        <v>68.84</v>
      </c>
      <c r="E204">
        <v>67.959999999999994</v>
      </c>
      <c r="F204" t="s">
        <v>623</v>
      </c>
      <c r="G204" s="50">
        <v>-3.7000000000000002E-3</v>
      </c>
    </row>
    <row r="205" spans="1:7" x14ac:dyDescent="0.25">
      <c r="A205" t="s">
        <v>624</v>
      </c>
      <c r="B205">
        <v>68.3</v>
      </c>
      <c r="C205">
        <v>67.55</v>
      </c>
      <c r="D205">
        <v>68.47</v>
      </c>
      <c r="E205">
        <v>67.510000000000005</v>
      </c>
      <c r="F205" t="s">
        <v>540</v>
      </c>
      <c r="G205" s="50">
        <v>1.38E-2</v>
      </c>
    </row>
    <row r="206" spans="1:7" x14ac:dyDescent="0.25">
      <c r="A206" t="s">
        <v>625</v>
      </c>
      <c r="B206">
        <v>67.37</v>
      </c>
      <c r="C206">
        <v>67.150000000000006</v>
      </c>
      <c r="D206">
        <v>67.56</v>
      </c>
      <c r="E206">
        <v>66.98</v>
      </c>
      <c r="F206" t="s">
        <v>626</v>
      </c>
      <c r="G206" s="50">
        <v>2.8E-3</v>
      </c>
    </row>
    <row r="207" spans="1:7" x14ac:dyDescent="0.25">
      <c r="A207" t="s">
        <v>627</v>
      </c>
      <c r="B207">
        <v>67.180000000000007</v>
      </c>
      <c r="C207">
        <v>67.680000000000007</v>
      </c>
      <c r="D207">
        <v>67.88</v>
      </c>
      <c r="E207">
        <v>67.150000000000006</v>
      </c>
      <c r="F207" t="s">
        <v>628</v>
      </c>
      <c r="G207" s="50">
        <v>-9.4000000000000004E-3</v>
      </c>
    </row>
    <row r="208" spans="1:7" x14ac:dyDescent="0.25">
      <c r="A208" t="s">
        <v>629</v>
      </c>
      <c r="B208">
        <v>67.819999999999993</v>
      </c>
      <c r="C208">
        <v>67.83</v>
      </c>
      <c r="D208">
        <v>68.03</v>
      </c>
      <c r="E208">
        <v>67.2</v>
      </c>
      <c r="F208" t="s">
        <v>630</v>
      </c>
      <c r="G208" s="50">
        <v>-1.9E-3</v>
      </c>
    </row>
    <row r="209" spans="1:7" x14ac:dyDescent="0.25">
      <c r="A209" t="s">
        <v>631</v>
      </c>
      <c r="B209">
        <v>67.95</v>
      </c>
      <c r="C209">
        <v>68.290000000000006</v>
      </c>
      <c r="D209">
        <v>68.5</v>
      </c>
      <c r="E209">
        <v>67.680000000000007</v>
      </c>
      <c r="F209" t="s">
        <v>632</v>
      </c>
      <c r="G209" s="50">
        <v>-1.18E-2</v>
      </c>
    </row>
    <row r="210" spans="1:7" x14ac:dyDescent="0.25">
      <c r="A210" t="s">
        <v>633</v>
      </c>
      <c r="B210">
        <v>68.760000000000005</v>
      </c>
      <c r="C210">
        <v>69.25</v>
      </c>
      <c r="D210">
        <v>69.39</v>
      </c>
      <c r="E210">
        <v>68.56</v>
      </c>
      <c r="F210" t="s">
        <v>634</v>
      </c>
      <c r="G210" s="50">
        <v>-7.4000000000000003E-3</v>
      </c>
    </row>
    <row r="211" spans="1:7" x14ac:dyDescent="0.25">
      <c r="A211" t="s">
        <v>635</v>
      </c>
      <c r="B211">
        <v>69.27</v>
      </c>
      <c r="C211">
        <v>68.540000000000006</v>
      </c>
      <c r="D211">
        <v>69.319999999999993</v>
      </c>
      <c r="E211">
        <v>68.31</v>
      </c>
      <c r="F211" t="s">
        <v>636</v>
      </c>
      <c r="G211" s="50">
        <v>9.9000000000000008E-3</v>
      </c>
    </row>
    <row r="212" spans="1:7" x14ac:dyDescent="0.25">
      <c r="A212" t="s">
        <v>637</v>
      </c>
      <c r="B212">
        <v>68.59</v>
      </c>
      <c r="C212">
        <v>68.8</v>
      </c>
      <c r="D212">
        <v>68.92</v>
      </c>
      <c r="E212">
        <v>68.349999999999994</v>
      </c>
      <c r="F212" t="s">
        <v>638</v>
      </c>
      <c r="G212" s="50">
        <v>-4.8999999999999998E-3</v>
      </c>
    </row>
    <row r="213" spans="1:7" x14ac:dyDescent="0.25">
      <c r="A213" t="s">
        <v>639</v>
      </c>
      <c r="B213">
        <v>68.930000000000007</v>
      </c>
      <c r="C213">
        <v>69.08</v>
      </c>
      <c r="D213">
        <v>69.3</v>
      </c>
      <c r="E213">
        <v>68.61</v>
      </c>
      <c r="F213" t="s">
        <v>640</v>
      </c>
      <c r="G213" s="50">
        <v>-6.3E-3</v>
      </c>
    </row>
    <row r="214" spans="1:7" x14ac:dyDescent="0.25">
      <c r="A214" t="s">
        <v>641</v>
      </c>
      <c r="B214">
        <v>69.37</v>
      </c>
      <c r="C214">
        <v>68.180000000000007</v>
      </c>
      <c r="D214">
        <v>69.47</v>
      </c>
      <c r="E214">
        <v>68.180000000000007</v>
      </c>
      <c r="F214" t="s">
        <v>642</v>
      </c>
      <c r="G214" s="50">
        <v>1.14E-2</v>
      </c>
    </row>
    <row r="215" spans="1:7" x14ac:dyDescent="0.25">
      <c r="A215" t="s">
        <v>643</v>
      </c>
      <c r="B215">
        <v>68.59</v>
      </c>
      <c r="C215">
        <v>68.680000000000007</v>
      </c>
      <c r="D215">
        <v>68.94</v>
      </c>
      <c r="E215">
        <v>68.180000000000007</v>
      </c>
      <c r="F215" t="s">
        <v>644</v>
      </c>
      <c r="G215" s="50">
        <v>-7.4000000000000003E-3</v>
      </c>
    </row>
    <row r="216" spans="1:7" x14ac:dyDescent="0.25">
      <c r="A216" t="s">
        <v>645</v>
      </c>
      <c r="B216">
        <v>69.099999999999994</v>
      </c>
      <c r="C216">
        <v>69.38</v>
      </c>
      <c r="D216">
        <v>69.540000000000006</v>
      </c>
      <c r="E216">
        <v>68.64</v>
      </c>
      <c r="F216" t="s">
        <v>593</v>
      </c>
      <c r="G216" s="50">
        <v>-4.0000000000000001E-3</v>
      </c>
    </row>
    <row r="217" spans="1:7" x14ac:dyDescent="0.25">
      <c r="A217" t="s">
        <v>646</v>
      </c>
      <c r="B217">
        <v>69.38</v>
      </c>
      <c r="C217">
        <v>68.83</v>
      </c>
      <c r="D217">
        <v>69.78</v>
      </c>
      <c r="E217">
        <v>68.75</v>
      </c>
      <c r="F217" t="s">
        <v>647</v>
      </c>
      <c r="G217" s="50">
        <v>1.06E-2</v>
      </c>
    </row>
    <row r="218" spans="1:7" x14ac:dyDescent="0.25">
      <c r="A218" t="s">
        <v>648</v>
      </c>
      <c r="B218">
        <v>68.650000000000006</v>
      </c>
      <c r="C218">
        <v>68.87</v>
      </c>
      <c r="D218">
        <v>69.209999999999994</v>
      </c>
      <c r="E218">
        <v>68.34</v>
      </c>
      <c r="F218" t="s">
        <v>649</v>
      </c>
      <c r="G218" s="50">
        <v>-4.4000000000000003E-3</v>
      </c>
    </row>
    <row r="219" spans="1:7" x14ac:dyDescent="0.25">
      <c r="A219" t="s">
        <v>650</v>
      </c>
      <c r="B219">
        <v>68.95</v>
      </c>
      <c r="C219">
        <v>68.72</v>
      </c>
      <c r="D219">
        <v>69.16</v>
      </c>
      <c r="E219">
        <v>68.42</v>
      </c>
      <c r="F219" t="s">
        <v>293</v>
      </c>
      <c r="G219" s="50">
        <v>1.11E-2</v>
      </c>
    </row>
    <row r="220" spans="1:7" x14ac:dyDescent="0.25">
      <c r="A220" t="s">
        <v>651</v>
      </c>
      <c r="B220">
        <v>68.19</v>
      </c>
      <c r="C220">
        <v>67.849999999999994</v>
      </c>
      <c r="D220">
        <v>68.53</v>
      </c>
      <c r="E220">
        <v>67.78</v>
      </c>
      <c r="F220" t="s">
        <v>652</v>
      </c>
      <c r="G220" s="50">
        <v>4.4000000000000003E-3</v>
      </c>
    </row>
    <row r="221" spans="1:7" x14ac:dyDescent="0.25">
      <c r="A221" t="s">
        <v>653</v>
      </c>
      <c r="B221">
        <v>67.89</v>
      </c>
      <c r="C221">
        <v>67.78</v>
      </c>
      <c r="D221">
        <v>68.040000000000006</v>
      </c>
      <c r="E221">
        <v>67.36</v>
      </c>
      <c r="F221" t="s">
        <v>654</v>
      </c>
      <c r="G221" s="50">
        <v>7.6E-3</v>
      </c>
    </row>
    <row r="222" spans="1:7" x14ac:dyDescent="0.25">
      <c r="A222" t="s">
        <v>655</v>
      </c>
      <c r="B222">
        <v>67.38</v>
      </c>
      <c r="C222">
        <v>66.349999999999994</v>
      </c>
      <c r="D222">
        <v>67.489999999999995</v>
      </c>
      <c r="E222">
        <v>66.209999999999994</v>
      </c>
      <c r="F222" t="s">
        <v>656</v>
      </c>
      <c r="G222" s="50">
        <v>1.6E-2</v>
      </c>
    </row>
    <row r="223" spans="1:7" x14ac:dyDescent="0.25">
      <c r="A223" t="s">
        <v>657</v>
      </c>
      <c r="B223">
        <v>66.319999999999993</v>
      </c>
      <c r="C223">
        <v>66.489999999999995</v>
      </c>
      <c r="D223">
        <v>66.650000000000006</v>
      </c>
      <c r="E223">
        <v>65.72</v>
      </c>
      <c r="F223" t="s">
        <v>658</v>
      </c>
      <c r="G223" s="50">
        <v>7.3000000000000001E-3</v>
      </c>
    </row>
    <row r="224" spans="1:7" x14ac:dyDescent="0.25">
      <c r="A224" t="s">
        <v>659</v>
      </c>
      <c r="B224">
        <v>65.84</v>
      </c>
      <c r="C224">
        <v>65.680000000000007</v>
      </c>
      <c r="D224">
        <v>66.34</v>
      </c>
      <c r="E224">
        <v>65.38</v>
      </c>
      <c r="F224" t="s">
        <v>660</v>
      </c>
      <c r="G224" s="50">
        <v>7.7999999999999996E-3</v>
      </c>
    </row>
    <row r="225" spans="1:7" x14ac:dyDescent="0.25">
      <c r="A225" t="s">
        <v>661</v>
      </c>
      <c r="B225">
        <v>65.33</v>
      </c>
      <c r="C225">
        <v>65.64</v>
      </c>
      <c r="D225">
        <v>66.150000000000006</v>
      </c>
      <c r="E225">
        <v>65.02</v>
      </c>
      <c r="F225" t="s">
        <v>662</v>
      </c>
      <c r="G225" s="50">
        <v>-2.7000000000000001E-3</v>
      </c>
    </row>
    <row r="226" spans="1:7" x14ac:dyDescent="0.25">
      <c r="A226" t="s">
        <v>663</v>
      </c>
      <c r="B226">
        <v>65.510000000000005</v>
      </c>
      <c r="C226">
        <v>65.19</v>
      </c>
      <c r="D226">
        <v>65.61</v>
      </c>
      <c r="E226">
        <v>64.849999999999994</v>
      </c>
      <c r="F226" t="s">
        <v>664</v>
      </c>
      <c r="G226" s="50">
        <v>2.2200000000000001E-2</v>
      </c>
    </row>
    <row r="227" spans="1:7" x14ac:dyDescent="0.25">
      <c r="A227" t="s">
        <v>665</v>
      </c>
      <c r="B227">
        <v>64.09</v>
      </c>
      <c r="C227">
        <v>64.59</v>
      </c>
      <c r="D227">
        <v>64.72</v>
      </c>
      <c r="E227">
        <v>63.93</v>
      </c>
      <c r="F227" t="s">
        <v>666</v>
      </c>
      <c r="G227" s="50">
        <v>-1.55E-2</v>
      </c>
    </row>
    <row r="228" spans="1:7" x14ac:dyDescent="0.25">
      <c r="A228" t="s">
        <v>667</v>
      </c>
      <c r="B228">
        <v>65.099999999999994</v>
      </c>
      <c r="C228">
        <v>64.319999999999993</v>
      </c>
      <c r="D228">
        <v>65.209999999999994</v>
      </c>
      <c r="E228">
        <v>64.11</v>
      </c>
      <c r="F228" t="s">
        <v>626</v>
      </c>
      <c r="G228" s="50">
        <v>1.4200000000000001E-2</v>
      </c>
    </row>
    <row r="229" spans="1:7" x14ac:dyDescent="0.25">
      <c r="A229" t="s">
        <v>668</v>
      </c>
      <c r="B229">
        <v>64.19</v>
      </c>
      <c r="C229">
        <v>65.11</v>
      </c>
      <c r="D229">
        <v>65.150000000000006</v>
      </c>
      <c r="E229">
        <v>63.87</v>
      </c>
      <c r="F229" t="s">
        <v>669</v>
      </c>
      <c r="G229" s="50">
        <v>-1.47E-2</v>
      </c>
    </row>
    <row r="230" spans="1:7" x14ac:dyDescent="0.25">
      <c r="A230" t="s">
        <v>670</v>
      </c>
      <c r="B230">
        <v>65.150000000000006</v>
      </c>
      <c r="C230">
        <v>66</v>
      </c>
      <c r="D230">
        <v>66.08</v>
      </c>
      <c r="E230">
        <v>64.81</v>
      </c>
      <c r="F230" t="s">
        <v>671</v>
      </c>
      <c r="G230" s="50">
        <v>-1.14E-2</v>
      </c>
    </row>
    <row r="231" spans="1:7" x14ac:dyDescent="0.25">
      <c r="A231" t="s">
        <v>672</v>
      </c>
      <c r="B231">
        <v>65.900000000000006</v>
      </c>
      <c r="C231">
        <v>66.11</v>
      </c>
      <c r="D231">
        <v>66.36</v>
      </c>
      <c r="E231">
        <v>65.59</v>
      </c>
      <c r="F231" t="s">
        <v>673</v>
      </c>
      <c r="G231" s="50">
        <v>-2.3999999999999998E-3</v>
      </c>
    </row>
    <row r="232" spans="1:7" x14ac:dyDescent="0.25">
      <c r="A232" t="s">
        <v>674</v>
      </c>
      <c r="B232">
        <v>66.06</v>
      </c>
      <c r="C232">
        <v>65.319999999999993</v>
      </c>
      <c r="D232">
        <v>66.16</v>
      </c>
      <c r="E232">
        <v>65.23</v>
      </c>
      <c r="F232" t="s">
        <v>675</v>
      </c>
      <c r="G232" s="50">
        <v>2.23E-2</v>
      </c>
    </row>
    <row r="233" spans="1:7" x14ac:dyDescent="0.25">
      <c r="A233" t="s">
        <v>676</v>
      </c>
      <c r="B233">
        <v>64.62</v>
      </c>
      <c r="C233">
        <v>64.48</v>
      </c>
      <c r="D233">
        <v>64.91</v>
      </c>
      <c r="E233">
        <v>64.28</v>
      </c>
      <c r="F233" t="s">
        <v>677</v>
      </c>
      <c r="G233" s="50">
        <v>3.5999999999999999E-3</v>
      </c>
    </row>
    <row r="234" spans="1:7" x14ac:dyDescent="0.25">
      <c r="A234" t="s">
        <v>678</v>
      </c>
      <c r="B234">
        <v>64.39</v>
      </c>
      <c r="C234">
        <v>64.66</v>
      </c>
      <c r="D234">
        <v>64.89</v>
      </c>
      <c r="E234">
        <v>64.349999999999994</v>
      </c>
      <c r="F234" t="s">
        <v>679</v>
      </c>
      <c r="G234" s="50">
        <v>5.0000000000000001E-4</v>
      </c>
    </row>
    <row r="235" spans="1:7" x14ac:dyDescent="0.25">
      <c r="A235" t="s">
        <v>680</v>
      </c>
      <c r="B235">
        <v>64.36</v>
      </c>
      <c r="C235">
        <v>63.79</v>
      </c>
      <c r="D235">
        <v>64.459999999999994</v>
      </c>
      <c r="E235">
        <v>63.72</v>
      </c>
      <c r="F235" t="s">
        <v>626</v>
      </c>
      <c r="G235" s="50">
        <v>8.0000000000000002E-3</v>
      </c>
    </row>
    <row r="236" spans="1:7" x14ac:dyDescent="0.25">
      <c r="A236" t="s">
        <v>681</v>
      </c>
      <c r="B236">
        <v>63.85</v>
      </c>
      <c r="C236">
        <v>62.72</v>
      </c>
      <c r="D236">
        <v>63.88</v>
      </c>
      <c r="E236">
        <v>62.71</v>
      </c>
      <c r="F236" t="s">
        <v>682</v>
      </c>
      <c r="G236" s="50">
        <v>1.2800000000000001E-2</v>
      </c>
    </row>
    <row r="237" spans="1:7" x14ac:dyDescent="0.25">
      <c r="A237" t="s">
        <v>683</v>
      </c>
      <c r="B237">
        <v>63.04</v>
      </c>
      <c r="C237">
        <v>62.92</v>
      </c>
      <c r="D237">
        <v>63.17</v>
      </c>
      <c r="E237">
        <v>62.3</v>
      </c>
      <c r="F237" t="s">
        <v>684</v>
      </c>
      <c r="G237" s="50">
        <v>-2.0000000000000001E-4</v>
      </c>
    </row>
    <row r="238" spans="1:7" x14ac:dyDescent="0.25">
      <c r="A238" t="s">
        <v>685</v>
      </c>
      <c r="B238">
        <v>63.05</v>
      </c>
      <c r="C238">
        <v>63.73</v>
      </c>
      <c r="D238">
        <v>63.74</v>
      </c>
      <c r="E238">
        <v>62.49</v>
      </c>
      <c r="F238" t="s">
        <v>686</v>
      </c>
      <c r="G238" s="50">
        <v>-4.5999999999999999E-3</v>
      </c>
    </row>
    <row r="239" spans="1:7" x14ac:dyDescent="0.25">
      <c r="A239" t="s">
        <v>687</v>
      </c>
      <c r="B239">
        <v>63.34</v>
      </c>
      <c r="C239">
        <v>63.89</v>
      </c>
      <c r="D239">
        <v>63.99</v>
      </c>
      <c r="E239">
        <v>63.25</v>
      </c>
      <c r="F239" t="s">
        <v>249</v>
      </c>
      <c r="G239" s="50">
        <v>-6.4000000000000003E-3</v>
      </c>
    </row>
    <row r="240" spans="1:7" x14ac:dyDescent="0.25">
      <c r="A240" t="s">
        <v>688</v>
      </c>
      <c r="B240">
        <v>63.75</v>
      </c>
      <c r="C240">
        <v>63.76</v>
      </c>
      <c r="D240">
        <v>63.99</v>
      </c>
      <c r="E240">
        <v>63.33</v>
      </c>
      <c r="F240" t="s">
        <v>536</v>
      </c>
      <c r="G240" s="50">
        <v>1.01E-2</v>
      </c>
    </row>
    <row r="241" spans="1:7" x14ac:dyDescent="0.25">
      <c r="A241" t="s">
        <v>689</v>
      </c>
      <c r="B241">
        <v>63.11</v>
      </c>
      <c r="C241">
        <v>62.71</v>
      </c>
      <c r="D241">
        <v>63.22</v>
      </c>
      <c r="E241">
        <v>62.53</v>
      </c>
      <c r="F241" t="s">
        <v>690</v>
      </c>
      <c r="G241" s="50">
        <v>-3.8999999999999998E-3</v>
      </c>
    </row>
    <row r="242" spans="1:7" x14ac:dyDescent="0.25">
      <c r="A242" t="s">
        <v>691</v>
      </c>
      <c r="B242">
        <v>63.36</v>
      </c>
      <c r="C242">
        <v>63.4</v>
      </c>
      <c r="D242">
        <v>63.72</v>
      </c>
      <c r="E242">
        <v>62.95</v>
      </c>
      <c r="F242" t="s">
        <v>692</v>
      </c>
      <c r="G242" s="50">
        <v>2.5000000000000001E-3</v>
      </c>
    </row>
    <row r="243" spans="1:7" x14ac:dyDescent="0.25">
      <c r="A243" t="s">
        <v>693</v>
      </c>
      <c r="B243">
        <v>63.2</v>
      </c>
      <c r="C243">
        <v>62.99</v>
      </c>
      <c r="D243">
        <v>63.9</v>
      </c>
      <c r="E243">
        <v>62.97</v>
      </c>
      <c r="F243" t="s">
        <v>694</v>
      </c>
      <c r="G243" s="50">
        <v>-3.5000000000000001E-3</v>
      </c>
    </row>
    <row r="244" spans="1:7" x14ac:dyDescent="0.25">
      <c r="A244" t="s">
        <v>695</v>
      </c>
      <c r="B244">
        <v>63.42</v>
      </c>
      <c r="C244">
        <v>63.74</v>
      </c>
      <c r="D244">
        <v>63.85</v>
      </c>
      <c r="E244">
        <v>63.06</v>
      </c>
      <c r="F244" t="s">
        <v>696</v>
      </c>
      <c r="G244" s="50">
        <v>-7.7999999999999996E-3</v>
      </c>
    </row>
    <row r="245" spans="1:7" x14ac:dyDescent="0.25">
      <c r="A245" t="s">
        <v>697</v>
      </c>
      <c r="B245">
        <v>63.92</v>
      </c>
      <c r="C245">
        <v>63.43</v>
      </c>
      <c r="D245">
        <v>64.13</v>
      </c>
      <c r="E245">
        <v>63.18</v>
      </c>
      <c r="F245" t="s">
        <v>698</v>
      </c>
      <c r="G245" s="50">
        <v>4.7000000000000002E-3</v>
      </c>
    </row>
    <row r="246" spans="1:7" x14ac:dyDescent="0.25">
      <c r="A246" t="s">
        <v>699</v>
      </c>
      <c r="B246">
        <v>63.62</v>
      </c>
      <c r="C246">
        <v>63.91</v>
      </c>
      <c r="D246">
        <v>64.03</v>
      </c>
      <c r="E246">
        <v>62.97</v>
      </c>
      <c r="F246" t="s">
        <v>700</v>
      </c>
      <c r="G246" s="50">
        <v>-0.01</v>
      </c>
    </row>
    <row r="247" spans="1:7" x14ac:dyDescent="0.25">
      <c r="A247" t="s">
        <v>701</v>
      </c>
      <c r="B247">
        <v>64.260000000000005</v>
      </c>
      <c r="C247">
        <v>63.07</v>
      </c>
      <c r="D247">
        <v>65.75</v>
      </c>
      <c r="E247">
        <v>62.92</v>
      </c>
      <c r="F247" t="s">
        <v>702</v>
      </c>
      <c r="G247" s="50">
        <v>4.8500000000000001E-2</v>
      </c>
    </row>
    <row r="248" spans="1:7" x14ac:dyDescent="0.25">
      <c r="A248" t="s">
        <v>703</v>
      </c>
      <c r="B248">
        <v>61.29</v>
      </c>
      <c r="C248">
        <v>61.63</v>
      </c>
      <c r="D248">
        <v>61.87</v>
      </c>
      <c r="E248">
        <v>60.85</v>
      </c>
      <c r="F248" t="s">
        <v>704</v>
      </c>
      <c r="G248" s="50">
        <v>-7.9000000000000008E-3</v>
      </c>
    </row>
    <row r="249" spans="1:7" x14ac:dyDescent="0.25">
      <c r="A249" t="s">
        <v>705</v>
      </c>
      <c r="B249">
        <v>61.78</v>
      </c>
      <c r="C249">
        <v>61.67</v>
      </c>
      <c r="D249">
        <v>62.24</v>
      </c>
      <c r="E249">
        <v>61.6</v>
      </c>
      <c r="F249" t="s">
        <v>706</v>
      </c>
      <c r="G249" s="50">
        <v>1.8E-3</v>
      </c>
    </row>
    <row r="250" spans="1:7" x14ac:dyDescent="0.25">
      <c r="A250" t="s">
        <v>707</v>
      </c>
      <c r="B250">
        <v>61.67</v>
      </c>
      <c r="C250">
        <v>61.61</v>
      </c>
      <c r="D250">
        <v>61.85</v>
      </c>
      <c r="E250">
        <v>61.12</v>
      </c>
      <c r="F250" t="s">
        <v>708</v>
      </c>
      <c r="G250" s="50">
        <v>3.1800000000000002E-2</v>
      </c>
    </row>
    <row r="251" spans="1:7" x14ac:dyDescent="0.25">
      <c r="A251" t="s">
        <v>709</v>
      </c>
      <c r="B251">
        <v>59.77</v>
      </c>
      <c r="C251">
        <v>60.65</v>
      </c>
      <c r="D251">
        <v>60.83</v>
      </c>
      <c r="E251">
        <v>59.44</v>
      </c>
      <c r="F251" t="s">
        <v>710</v>
      </c>
      <c r="G251" s="50">
        <v>1E-3</v>
      </c>
    </row>
    <row r="252" spans="1:7" x14ac:dyDescent="0.25">
      <c r="A252" t="s">
        <v>711</v>
      </c>
      <c r="B252">
        <v>59.71</v>
      </c>
      <c r="C252">
        <v>59.96</v>
      </c>
      <c r="D252">
        <v>60.28</v>
      </c>
      <c r="E252">
        <v>59.42</v>
      </c>
      <c r="F252" t="s">
        <v>548</v>
      </c>
      <c r="G252" s="50">
        <v>2.3999999999999998E-3</v>
      </c>
    </row>
    <row r="253" spans="1:7" x14ac:dyDescent="0.25">
      <c r="A253" t="s">
        <v>712</v>
      </c>
      <c r="B253">
        <v>59.57</v>
      </c>
      <c r="C253">
        <v>59.2</v>
      </c>
      <c r="D253">
        <v>59.9</v>
      </c>
      <c r="E253">
        <v>59.07</v>
      </c>
      <c r="F253" t="s">
        <v>713</v>
      </c>
      <c r="G253" s="50">
        <v>5.8999999999999999E-3</v>
      </c>
    </row>
    <row r="254" spans="1:7" x14ac:dyDescent="0.25">
      <c r="A254" t="s">
        <v>714</v>
      </c>
      <c r="B254">
        <v>59.22</v>
      </c>
      <c r="C254">
        <v>58.63</v>
      </c>
      <c r="D254">
        <v>59.51</v>
      </c>
      <c r="E254">
        <v>58.58</v>
      </c>
      <c r="F254" t="s">
        <v>715</v>
      </c>
      <c r="G254" s="50">
        <v>-1.6999999999999999E-3</v>
      </c>
    </row>
    <row r="255" spans="1:7" x14ac:dyDescent="0.25">
      <c r="A255" t="s">
        <v>716</v>
      </c>
      <c r="B255">
        <v>59.32</v>
      </c>
      <c r="C255">
        <v>59</v>
      </c>
      <c r="D255">
        <v>59.65</v>
      </c>
      <c r="E255">
        <v>58.88</v>
      </c>
      <c r="F255" t="s">
        <v>717</v>
      </c>
      <c r="G255" s="50">
        <v>-2.0000000000000001E-4</v>
      </c>
    </row>
    <row r="256" spans="1:7" x14ac:dyDescent="0.25">
      <c r="A256" t="s">
        <v>718</v>
      </c>
      <c r="B256">
        <v>59.33</v>
      </c>
      <c r="C256">
        <v>59.06</v>
      </c>
      <c r="D256">
        <v>59.42</v>
      </c>
      <c r="E256">
        <v>58.74</v>
      </c>
      <c r="F256" t="s">
        <v>583</v>
      </c>
      <c r="G256" s="50">
        <v>2.0799999999999999E-2</v>
      </c>
    </row>
    <row r="257" spans="1:7" x14ac:dyDescent="0.25">
      <c r="A257" t="s">
        <v>719</v>
      </c>
      <c r="B257">
        <v>58.12</v>
      </c>
      <c r="C257">
        <v>57.78</v>
      </c>
      <c r="D257">
        <v>58.47</v>
      </c>
      <c r="E257">
        <v>57.68</v>
      </c>
      <c r="F257" t="s">
        <v>720</v>
      </c>
      <c r="G257" s="50">
        <v>6.7999999999999996E-3</v>
      </c>
    </row>
    <row r="258" spans="1:7" x14ac:dyDescent="0.25">
      <c r="A258" t="s">
        <v>721</v>
      </c>
      <c r="B258">
        <v>57.73</v>
      </c>
      <c r="C258">
        <v>57.1</v>
      </c>
      <c r="D258">
        <v>57.9</v>
      </c>
      <c r="E258">
        <v>56.46</v>
      </c>
      <c r="F258" t="s">
        <v>722</v>
      </c>
      <c r="G258" s="50">
        <v>6.7999999999999996E-3</v>
      </c>
    </row>
    <row r="259" spans="1:7" x14ac:dyDescent="0.25">
      <c r="A259" t="s">
        <v>723</v>
      </c>
      <c r="B259">
        <v>57.34</v>
      </c>
      <c r="C259">
        <v>56.69</v>
      </c>
      <c r="D259">
        <v>57.49</v>
      </c>
      <c r="E259">
        <v>56.63</v>
      </c>
      <c r="F259" t="s">
        <v>724</v>
      </c>
      <c r="G259" s="50">
        <v>8.8000000000000005E-3</v>
      </c>
    </row>
    <row r="260" spans="1:7" x14ac:dyDescent="0.25">
      <c r="A260" t="s">
        <v>725</v>
      </c>
      <c r="B260">
        <v>56.84</v>
      </c>
      <c r="C260">
        <v>56.53</v>
      </c>
      <c r="D260">
        <v>57.33</v>
      </c>
      <c r="E260">
        <v>56.42</v>
      </c>
      <c r="F260" t="s">
        <v>726</v>
      </c>
      <c r="G260" s="50">
        <v>2.3E-3</v>
      </c>
    </row>
    <row r="261" spans="1:7" x14ac:dyDescent="0.25">
      <c r="A261" t="s">
        <v>727</v>
      </c>
      <c r="B261">
        <v>56.71</v>
      </c>
      <c r="C261">
        <v>56.21</v>
      </c>
      <c r="D261">
        <v>56.78</v>
      </c>
      <c r="E261">
        <v>56.07</v>
      </c>
      <c r="F261" t="s">
        <v>520</v>
      </c>
      <c r="G261" s="50">
        <v>7.4999999999999997E-3</v>
      </c>
    </row>
    <row r="262" spans="1:7" x14ac:dyDescent="0.25">
      <c r="A262" t="s">
        <v>728</v>
      </c>
      <c r="B262">
        <v>56.29</v>
      </c>
      <c r="C262">
        <v>55.3</v>
      </c>
      <c r="D262">
        <v>56.56</v>
      </c>
      <c r="E262">
        <v>55.16</v>
      </c>
      <c r="F262" t="s">
        <v>729</v>
      </c>
      <c r="G262" s="50">
        <v>1.1900000000000001E-2</v>
      </c>
    </row>
    <row r="263" spans="1:7" x14ac:dyDescent="0.25">
      <c r="A263" t="s">
        <v>730</v>
      </c>
      <c r="B263">
        <v>55.63</v>
      </c>
      <c r="C263">
        <v>56.15</v>
      </c>
      <c r="D263">
        <v>56.98</v>
      </c>
      <c r="E263">
        <v>55.49</v>
      </c>
      <c r="F263" t="s">
        <v>731</v>
      </c>
      <c r="G263" s="50">
        <v>1.0699999999999999E-2</v>
      </c>
    </row>
    <row r="264" spans="1:7" x14ac:dyDescent="0.25">
      <c r="A264" t="s">
        <v>732</v>
      </c>
      <c r="B264">
        <v>55.04</v>
      </c>
      <c r="C264">
        <v>55.22</v>
      </c>
      <c r="D264">
        <v>55.28</v>
      </c>
      <c r="E264">
        <v>54.58</v>
      </c>
      <c r="F264" t="s">
        <v>733</v>
      </c>
      <c r="G264" s="50">
        <v>1.23E-2</v>
      </c>
    </row>
    <row r="265" spans="1:7" x14ac:dyDescent="0.25">
      <c r="A265" t="s">
        <v>734</v>
      </c>
      <c r="B265">
        <v>54.37</v>
      </c>
      <c r="C265">
        <v>55.16</v>
      </c>
      <c r="D265">
        <v>55.33</v>
      </c>
      <c r="E265">
        <v>53.83</v>
      </c>
      <c r="F265" t="s">
        <v>735</v>
      </c>
      <c r="G265" s="50">
        <v>-2.4899999999999999E-2</v>
      </c>
    </row>
    <row r="266" spans="1:7" x14ac:dyDescent="0.25">
      <c r="A266" t="s">
        <v>736</v>
      </c>
      <c r="B266">
        <v>55.76</v>
      </c>
      <c r="C266">
        <v>56.2</v>
      </c>
      <c r="D266">
        <v>56.4</v>
      </c>
      <c r="E266">
        <v>55.69</v>
      </c>
      <c r="F266" t="s">
        <v>737</v>
      </c>
      <c r="G266" s="50">
        <v>0</v>
      </c>
    </row>
    <row r="267" spans="1:7" x14ac:dyDescent="0.25">
      <c r="A267" t="s">
        <v>738</v>
      </c>
      <c r="B267">
        <v>55.76</v>
      </c>
      <c r="C267">
        <v>56.57</v>
      </c>
      <c r="D267">
        <v>57.08</v>
      </c>
      <c r="E267">
        <v>55.42</v>
      </c>
      <c r="F267" t="s">
        <v>739</v>
      </c>
      <c r="G267" s="50">
        <v>-2.52E-2</v>
      </c>
    </row>
    <row r="268" spans="1:7" x14ac:dyDescent="0.25">
      <c r="A268" t="s">
        <v>740</v>
      </c>
      <c r="B268">
        <v>57.2</v>
      </c>
      <c r="C268">
        <v>57.87</v>
      </c>
      <c r="D268">
        <v>57.91</v>
      </c>
      <c r="E268">
        <v>57.06</v>
      </c>
      <c r="F268" t="s">
        <v>326</v>
      </c>
      <c r="G268" s="50">
        <v>-3.7000000000000002E-3</v>
      </c>
    </row>
    <row r="269" spans="1:7" x14ac:dyDescent="0.25">
      <c r="A269" t="s">
        <v>741</v>
      </c>
      <c r="B269">
        <v>57.41</v>
      </c>
      <c r="C269">
        <v>57.89</v>
      </c>
      <c r="D269">
        <v>58.21</v>
      </c>
      <c r="E269">
        <v>57.1</v>
      </c>
      <c r="F269" t="s">
        <v>742</v>
      </c>
      <c r="G269" s="50">
        <v>1.4E-3</v>
      </c>
    </row>
    <row r="270" spans="1:7" x14ac:dyDescent="0.25">
      <c r="A270" t="s">
        <v>743</v>
      </c>
      <c r="B270">
        <v>57.33</v>
      </c>
      <c r="C270">
        <v>56.67</v>
      </c>
      <c r="D270">
        <v>57.8</v>
      </c>
      <c r="E270">
        <v>56.28</v>
      </c>
      <c r="F270" t="s">
        <v>744</v>
      </c>
      <c r="G270" s="50">
        <v>1.3100000000000001E-2</v>
      </c>
    </row>
    <row r="271" spans="1:7" x14ac:dyDescent="0.25">
      <c r="A271" t="s">
        <v>745</v>
      </c>
      <c r="B271">
        <v>56.59</v>
      </c>
      <c r="C271">
        <v>57.82</v>
      </c>
      <c r="D271">
        <v>57.94</v>
      </c>
      <c r="E271">
        <v>55</v>
      </c>
      <c r="F271" t="s">
        <v>746</v>
      </c>
      <c r="G271" s="50">
        <v>-2.6499999999999999E-2</v>
      </c>
    </row>
    <row r="272" spans="1:7" x14ac:dyDescent="0.25">
      <c r="A272" t="s">
        <v>747</v>
      </c>
      <c r="B272">
        <v>58.13</v>
      </c>
      <c r="C272">
        <v>53.08</v>
      </c>
      <c r="D272">
        <v>58.43</v>
      </c>
      <c r="E272">
        <v>52.67</v>
      </c>
      <c r="F272" t="s">
        <v>748</v>
      </c>
      <c r="G272" s="50">
        <v>9.2899999999999996E-2</v>
      </c>
    </row>
    <row r="273" spans="1:7" x14ac:dyDescent="0.25">
      <c r="A273" t="s">
        <v>749</v>
      </c>
      <c r="B273">
        <v>53.19</v>
      </c>
      <c r="C273">
        <v>54.74</v>
      </c>
      <c r="D273">
        <v>55.87</v>
      </c>
      <c r="E273">
        <v>52.72</v>
      </c>
      <c r="F273" t="s">
        <v>750</v>
      </c>
      <c r="G273" s="50">
        <v>-2.24E-2</v>
      </c>
    </row>
    <row r="274" spans="1:7" x14ac:dyDescent="0.25">
      <c r="A274" t="s">
        <v>751</v>
      </c>
      <c r="B274">
        <v>54.41</v>
      </c>
      <c r="C274">
        <v>53.38</v>
      </c>
      <c r="D274">
        <v>56.12</v>
      </c>
      <c r="E274">
        <v>52.11</v>
      </c>
      <c r="F274" t="s">
        <v>752</v>
      </c>
      <c r="G274" s="50">
        <v>-2.3999999999999998E-3</v>
      </c>
    </row>
    <row r="275" spans="1:7" x14ac:dyDescent="0.25">
      <c r="A275" t="s">
        <v>753</v>
      </c>
      <c r="B275">
        <v>54.54</v>
      </c>
      <c r="C275">
        <v>56.66</v>
      </c>
      <c r="D275">
        <v>57.47</v>
      </c>
      <c r="E275">
        <v>54.44</v>
      </c>
      <c r="F275" t="s">
        <v>754</v>
      </c>
      <c r="G275" s="50">
        <v>-4.8300000000000003E-2</v>
      </c>
    </row>
    <row r="276" spans="1:7" x14ac:dyDescent="0.25">
      <c r="A276" t="s">
        <v>755</v>
      </c>
      <c r="B276">
        <v>57.31</v>
      </c>
      <c r="C276">
        <v>59.38</v>
      </c>
      <c r="D276">
        <v>59.92</v>
      </c>
      <c r="E276">
        <v>57.26</v>
      </c>
      <c r="F276" t="s">
        <v>756</v>
      </c>
      <c r="G276" s="50">
        <v>-7.2999999999999995E-2</v>
      </c>
    </row>
    <row r="277" spans="1:7" x14ac:dyDescent="0.25">
      <c r="A277" t="s">
        <v>757</v>
      </c>
      <c r="B277">
        <v>61.82</v>
      </c>
      <c r="C277">
        <v>61.19</v>
      </c>
      <c r="D277">
        <v>61.87</v>
      </c>
      <c r="E277">
        <v>61.1</v>
      </c>
      <c r="F277" t="s">
        <v>758</v>
      </c>
      <c r="G277" s="50">
        <v>2.9999999999999997E-4</v>
      </c>
    </row>
    <row r="278" spans="1:7" x14ac:dyDescent="0.25">
      <c r="A278" t="s">
        <v>759</v>
      </c>
      <c r="B278">
        <v>61.8</v>
      </c>
      <c r="C278">
        <v>61.38</v>
      </c>
      <c r="D278">
        <v>62.04</v>
      </c>
      <c r="E278">
        <v>61.06</v>
      </c>
      <c r="F278" t="s">
        <v>760</v>
      </c>
      <c r="G278" s="50">
        <v>1.5E-3</v>
      </c>
    </row>
    <row r="279" spans="1:7" x14ac:dyDescent="0.25">
      <c r="A279" t="s">
        <v>761</v>
      </c>
      <c r="B279">
        <v>61.71</v>
      </c>
      <c r="C279">
        <v>60.63</v>
      </c>
      <c r="D279">
        <v>61.9</v>
      </c>
      <c r="E279">
        <v>60.24</v>
      </c>
      <c r="F279" t="s">
        <v>762</v>
      </c>
      <c r="G279" s="50">
        <v>1.4E-2</v>
      </c>
    </row>
    <row r="280" spans="1:7" x14ac:dyDescent="0.25">
      <c r="A280" t="s">
        <v>763</v>
      </c>
      <c r="B280">
        <v>60.86</v>
      </c>
      <c r="C280">
        <v>61.66</v>
      </c>
      <c r="D280">
        <v>61.78</v>
      </c>
      <c r="E280">
        <v>60.51</v>
      </c>
      <c r="F280" t="s">
        <v>764</v>
      </c>
      <c r="G280" s="50">
        <v>-8.8000000000000005E-3</v>
      </c>
    </row>
    <row r="281" spans="1:7" x14ac:dyDescent="0.25">
      <c r="A281" t="s">
        <v>765</v>
      </c>
      <c r="B281">
        <v>61.4</v>
      </c>
      <c r="C281">
        <v>61.89</v>
      </c>
      <c r="D281">
        <v>61.98</v>
      </c>
      <c r="E281">
        <v>61.33</v>
      </c>
      <c r="F281" t="s">
        <v>766</v>
      </c>
      <c r="G281" s="50">
        <v>-6.4999999999999997E-3</v>
      </c>
    </row>
    <row r="282" spans="1:7" x14ac:dyDescent="0.25">
      <c r="A282" t="s">
        <v>767</v>
      </c>
      <c r="B282">
        <v>61.8</v>
      </c>
      <c r="C282">
        <v>61.03</v>
      </c>
      <c r="D282">
        <v>61.84</v>
      </c>
      <c r="E282">
        <v>61.01</v>
      </c>
      <c r="F282" t="s">
        <v>768</v>
      </c>
      <c r="G282" s="50">
        <v>1.3299999999999999E-2</v>
      </c>
    </row>
    <row r="283" spans="1:7" x14ac:dyDescent="0.25">
      <c r="A283" t="s">
        <v>769</v>
      </c>
      <c r="B283">
        <v>60.99</v>
      </c>
      <c r="C283">
        <v>60.84</v>
      </c>
      <c r="D283">
        <v>61.21</v>
      </c>
      <c r="E283">
        <v>60.7</v>
      </c>
      <c r="F283" t="s">
        <v>770</v>
      </c>
      <c r="G283" s="50">
        <v>2.9999999999999997E-4</v>
      </c>
    </row>
    <row r="284" spans="1:7" x14ac:dyDescent="0.25">
      <c r="A284" t="s">
        <v>771</v>
      </c>
      <c r="B284">
        <v>60.97</v>
      </c>
      <c r="C284">
        <v>61.03</v>
      </c>
      <c r="D284">
        <v>61.38</v>
      </c>
      <c r="E284">
        <v>60.88</v>
      </c>
      <c r="F284" t="s">
        <v>772</v>
      </c>
      <c r="G284" s="50">
        <v>1.11E-2</v>
      </c>
    </row>
    <row r="285" spans="1:7" x14ac:dyDescent="0.25">
      <c r="A285" t="s">
        <v>773</v>
      </c>
      <c r="B285">
        <v>60.3</v>
      </c>
      <c r="C285">
        <v>60.17</v>
      </c>
      <c r="D285">
        <v>60.4</v>
      </c>
      <c r="E285">
        <v>59.42</v>
      </c>
      <c r="F285" t="s">
        <v>774</v>
      </c>
      <c r="G285" s="50">
        <v>-5.3E-3</v>
      </c>
    </row>
    <row r="286" spans="1:7" x14ac:dyDescent="0.25">
      <c r="A286" t="s">
        <v>775</v>
      </c>
      <c r="B286">
        <v>60.62</v>
      </c>
      <c r="C286">
        <v>60.47</v>
      </c>
      <c r="D286">
        <v>61.02</v>
      </c>
      <c r="E286">
        <v>60.34</v>
      </c>
      <c r="F286" t="s">
        <v>776</v>
      </c>
      <c r="G286" s="50">
        <v>-8.2000000000000007E-3</v>
      </c>
    </row>
    <row r="287" spans="1:7" x14ac:dyDescent="0.25">
      <c r="A287" t="s">
        <v>777</v>
      </c>
      <c r="B287">
        <v>61.12</v>
      </c>
      <c r="C287">
        <v>60.63</v>
      </c>
      <c r="D287">
        <v>61.58</v>
      </c>
      <c r="E287">
        <v>60.5</v>
      </c>
      <c r="F287" t="s">
        <v>778</v>
      </c>
      <c r="G287" s="50">
        <v>1.3599999999999999E-2</v>
      </c>
    </row>
    <row r="288" spans="1:7" x14ac:dyDescent="0.25">
      <c r="A288" t="s">
        <v>779</v>
      </c>
      <c r="B288">
        <v>60.3</v>
      </c>
      <c r="C288">
        <v>60.67</v>
      </c>
      <c r="D288">
        <v>60.8</v>
      </c>
      <c r="E288">
        <v>59.67</v>
      </c>
      <c r="F288" t="s">
        <v>430</v>
      </c>
      <c r="G288" s="50">
        <v>-9.7000000000000003E-3</v>
      </c>
    </row>
    <row r="289" spans="1:7" x14ac:dyDescent="0.25">
      <c r="A289" t="s">
        <v>780</v>
      </c>
      <c r="B289">
        <v>60.89</v>
      </c>
      <c r="C289">
        <v>60.4</v>
      </c>
      <c r="D289">
        <v>61.21</v>
      </c>
      <c r="E289">
        <v>60.34</v>
      </c>
      <c r="F289" t="s">
        <v>781</v>
      </c>
      <c r="G289" s="50">
        <v>6.4000000000000003E-3</v>
      </c>
    </row>
    <row r="290" spans="1:7" x14ac:dyDescent="0.25">
      <c r="A290" t="s">
        <v>782</v>
      </c>
      <c r="B290">
        <v>60.5</v>
      </c>
      <c r="C290">
        <v>60.32</v>
      </c>
      <c r="D290">
        <v>60.62</v>
      </c>
      <c r="E290">
        <v>59.92</v>
      </c>
      <c r="F290" t="s">
        <v>698</v>
      </c>
      <c r="G290" s="50">
        <v>1.3899999999999999E-2</v>
      </c>
    </row>
    <row r="291" spans="1:7" x14ac:dyDescent="0.25">
      <c r="A291" t="s">
        <v>783</v>
      </c>
      <c r="B291">
        <v>59.67</v>
      </c>
      <c r="C291">
        <v>60.41</v>
      </c>
      <c r="D291">
        <v>60.49</v>
      </c>
      <c r="E291">
        <v>59.23</v>
      </c>
      <c r="F291" t="s">
        <v>784</v>
      </c>
      <c r="G291" s="50">
        <v>-1.3100000000000001E-2</v>
      </c>
    </row>
    <row r="292" spans="1:7" x14ac:dyDescent="0.25">
      <c r="A292" t="s">
        <v>785</v>
      </c>
      <c r="B292">
        <v>60.46</v>
      </c>
      <c r="C292">
        <v>60.96</v>
      </c>
      <c r="D292">
        <v>61.18</v>
      </c>
      <c r="E292">
        <v>60.24</v>
      </c>
      <c r="F292" t="s">
        <v>786</v>
      </c>
      <c r="G292" s="50">
        <v>-3.5000000000000001E-3</v>
      </c>
    </row>
    <row r="293" spans="1:7" x14ac:dyDescent="0.25">
      <c r="A293" t="s">
        <v>787</v>
      </c>
      <c r="B293">
        <v>60.67</v>
      </c>
      <c r="C293">
        <v>62.28</v>
      </c>
      <c r="D293">
        <v>62.38</v>
      </c>
      <c r="E293">
        <v>60.53</v>
      </c>
      <c r="F293" t="s">
        <v>788</v>
      </c>
      <c r="G293" s="50">
        <v>-2.24E-2</v>
      </c>
    </row>
    <row r="294" spans="1:7" x14ac:dyDescent="0.25">
      <c r="A294" t="s">
        <v>789</v>
      </c>
      <c r="B294">
        <v>62.06</v>
      </c>
      <c r="C294">
        <v>63.48</v>
      </c>
      <c r="D294">
        <v>63.69</v>
      </c>
      <c r="E294">
        <v>61.68</v>
      </c>
      <c r="F294" t="s">
        <v>790</v>
      </c>
      <c r="G294" s="50">
        <v>-2.9399999999999999E-2</v>
      </c>
    </row>
    <row r="295" spans="1:7" x14ac:dyDescent="0.25">
      <c r="A295" t="s">
        <v>791</v>
      </c>
      <c r="B295">
        <v>63.94</v>
      </c>
      <c r="C295">
        <v>62.9</v>
      </c>
      <c r="D295">
        <v>64.17</v>
      </c>
      <c r="E295">
        <v>62.19</v>
      </c>
      <c r="F295" t="s">
        <v>792</v>
      </c>
      <c r="G295" s="50">
        <v>8.3999999999999995E-3</v>
      </c>
    </row>
    <row r="296" spans="1:7" x14ac:dyDescent="0.25">
      <c r="A296" t="s">
        <v>793</v>
      </c>
      <c r="B296">
        <v>63.41</v>
      </c>
      <c r="C296">
        <v>63.8</v>
      </c>
      <c r="D296">
        <v>64.02</v>
      </c>
      <c r="E296">
        <v>62.76</v>
      </c>
      <c r="F296" t="s">
        <v>654</v>
      </c>
      <c r="G296" s="50">
        <v>-8.6E-3</v>
      </c>
    </row>
    <row r="297" spans="1:7" x14ac:dyDescent="0.25">
      <c r="A297" t="s">
        <v>794</v>
      </c>
      <c r="B297">
        <v>63.96</v>
      </c>
      <c r="C297">
        <v>63.23</v>
      </c>
      <c r="D297">
        <v>64.180000000000007</v>
      </c>
      <c r="E297">
        <v>62.8</v>
      </c>
      <c r="F297" t="s">
        <v>795</v>
      </c>
      <c r="G297" s="50">
        <v>1.11E-2</v>
      </c>
    </row>
    <row r="298" spans="1:7" x14ac:dyDescent="0.25">
      <c r="A298" t="s">
        <v>796</v>
      </c>
      <c r="B298">
        <v>63.26</v>
      </c>
      <c r="C298">
        <v>63.74</v>
      </c>
      <c r="D298">
        <v>63.91</v>
      </c>
      <c r="E298">
        <v>62.61</v>
      </c>
      <c r="F298" t="s">
        <v>797</v>
      </c>
      <c r="G298" s="50">
        <v>-3.5000000000000001E-3</v>
      </c>
    </row>
    <row r="299" spans="1:7" x14ac:dyDescent="0.25">
      <c r="A299" t="s">
        <v>798</v>
      </c>
      <c r="B299">
        <v>63.48</v>
      </c>
      <c r="C299">
        <v>64.39</v>
      </c>
      <c r="D299">
        <v>64.88</v>
      </c>
      <c r="E299">
        <v>63.19</v>
      </c>
      <c r="F299" t="s">
        <v>799</v>
      </c>
      <c r="G299" s="50">
        <v>-9.7999999999999997E-3</v>
      </c>
    </row>
    <row r="300" spans="1:7" x14ac:dyDescent="0.25">
      <c r="A300" t="s">
        <v>800</v>
      </c>
      <c r="B300">
        <v>64.11</v>
      </c>
      <c r="C300">
        <v>63.92</v>
      </c>
      <c r="D300">
        <v>64.16</v>
      </c>
      <c r="E300">
        <v>62.83</v>
      </c>
      <c r="F300" t="s">
        <v>801</v>
      </c>
      <c r="G300" s="50">
        <v>4.7000000000000002E-3</v>
      </c>
    </row>
    <row r="301" spans="1:7" x14ac:dyDescent="0.25">
      <c r="A301" t="s">
        <v>802</v>
      </c>
      <c r="B301">
        <v>63.81</v>
      </c>
      <c r="C301">
        <v>64.760000000000005</v>
      </c>
      <c r="D301">
        <v>65.290000000000006</v>
      </c>
      <c r="E301">
        <v>63.75</v>
      </c>
      <c r="F301" t="s">
        <v>803</v>
      </c>
      <c r="G301" s="50">
        <v>-4.1999999999999997E-3</v>
      </c>
    </row>
    <row r="302" spans="1:7" x14ac:dyDescent="0.25">
      <c r="A302" t="s">
        <v>804</v>
      </c>
      <c r="B302">
        <v>64.08</v>
      </c>
      <c r="C302">
        <v>64.040000000000006</v>
      </c>
      <c r="D302">
        <v>64.78</v>
      </c>
      <c r="E302">
        <v>63.94</v>
      </c>
      <c r="F302" t="s">
        <v>805</v>
      </c>
      <c r="G302" s="50">
        <v>-3.0000000000000001E-3</v>
      </c>
    </row>
    <row r="303" spans="1:7" x14ac:dyDescent="0.25">
      <c r="A303" t="s">
        <v>806</v>
      </c>
      <c r="B303">
        <v>64.27</v>
      </c>
      <c r="C303">
        <v>64.599999999999994</v>
      </c>
      <c r="D303">
        <v>64.64</v>
      </c>
      <c r="E303">
        <v>63.32</v>
      </c>
      <c r="F303" t="s">
        <v>807</v>
      </c>
      <c r="G303" s="50">
        <v>1.6299999999999999E-2</v>
      </c>
    </row>
    <row r="304" spans="1:7" x14ac:dyDescent="0.25">
      <c r="A304" t="s">
        <v>808</v>
      </c>
      <c r="B304">
        <v>63.24</v>
      </c>
      <c r="C304">
        <v>64.430000000000007</v>
      </c>
      <c r="D304">
        <v>64.58</v>
      </c>
      <c r="E304">
        <v>63.15</v>
      </c>
      <c r="F304" t="s">
        <v>809</v>
      </c>
      <c r="G304" s="50">
        <v>-1.1599999999999999E-2</v>
      </c>
    </row>
    <row r="305" spans="1:7" x14ac:dyDescent="0.25">
      <c r="A305" t="s">
        <v>810</v>
      </c>
      <c r="B305">
        <v>63.98</v>
      </c>
      <c r="C305">
        <v>64.680000000000007</v>
      </c>
      <c r="D305">
        <v>64.959999999999994</v>
      </c>
      <c r="E305">
        <v>63.88</v>
      </c>
      <c r="F305" t="s">
        <v>811</v>
      </c>
      <c r="G305" s="50">
        <v>-1.0699999999999999E-2</v>
      </c>
    </row>
    <row r="306" spans="1:7" x14ac:dyDescent="0.25">
      <c r="A306" t="s">
        <v>812</v>
      </c>
      <c r="B306">
        <v>64.67</v>
      </c>
      <c r="C306">
        <v>64.959999999999994</v>
      </c>
      <c r="D306">
        <v>65.23</v>
      </c>
      <c r="E306">
        <v>64.27</v>
      </c>
      <c r="F306" t="s">
        <v>813</v>
      </c>
      <c r="G306" s="50">
        <v>-2.5999999999999999E-3</v>
      </c>
    </row>
    <row r="307" spans="1:7" x14ac:dyDescent="0.25">
      <c r="A307" t="s">
        <v>814</v>
      </c>
      <c r="B307">
        <v>64.84</v>
      </c>
      <c r="C307">
        <v>64.510000000000005</v>
      </c>
      <c r="D307">
        <v>64.959999999999994</v>
      </c>
      <c r="E307">
        <v>64.290000000000006</v>
      </c>
      <c r="F307" t="s">
        <v>815</v>
      </c>
      <c r="G307" s="50">
        <v>3.8999999999999998E-3</v>
      </c>
    </row>
    <row r="308" spans="1:7" x14ac:dyDescent="0.25">
      <c r="A308" t="s">
        <v>816</v>
      </c>
      <c r="B308">
        <v>64.59</v>
      </c>
      <c r="C308">
        <v>65.3</v>
      </c>
      <c r="D308">
        <v>66.25</v>
      </c>
      <c r="E308">
        <v>64.430000000000007</v>
      </c>
      <c r="F308" t="s">
        <v>817</v>
      </c>
      <c r="G308" s="50">
        <v>-4.3E-3</v>
      </c>
    </row>
    <row r="309" spans="1:7" x14ac:dyDescent="0.25">
      <c r="A309" t="s">
        <v>818</v>
      </c>
      <c r="B309">
        <v>64.87</v>
      </c>
      <c r="C309">
        <v>63.79</v>
      </c>
      <c r="D309">
        <v>65.069999999999993</v>
      </c>
      <c r="E309">
        <v>63.44</v>
      </c>
      <c r="F309" t="s">
        <v>819</v>
      </c>
      <c r="G309" s="50">
        <v>1.61E-2</v>
      </c>
    </row>
    <row r="310" spans="1:7" x14ac:dyDescent="0.25">
      <c r="A310" t="s">
        <v>820</v>
      </c>
      <c r="B310">
        <v>63.84</v>
      </c>
      <c r="C310">
        <v>66.099999999999994</v>
      </c>
      <c r="D310">
        <v>66.5</v>
      </c>
      <c r="E310">
        <v>62.72</v>
      </c>
      <c r="F310" t="s">
        <v>821</v>
      </c>
      <c r="G310" s="50">
        <v>2.0899999999999998E-2</v>
      </c>
    </row>
    <row r="311" spans="1:7" x14ac:dyDescent="0.25">
      <c r="A311" t="s">
        <v>822</v>
      </c>
      <c r="B311">
        <v>62.53</v>
      </c>
      <c r="C311">
        <v>61.44</v>
      </c>
      <c r="D311">
        <v>62.56</v>
      </c>
      <c r="E311">
        <v>61.2</v>
      </c>
      <c r="F311" t="s">
        <v>823</v>
      </c>
      <c r="G311" s="50">
        <v>1.6000000000000001E-3</v>
      </c>
    </row>
    <row r="312" spans="1:7" x14ac:dyDescent="0.25">
      <c r="A312" t="s">
        <v>824</v>
      </c>
      <c r="B312">
        <v>62.43</v>
      </c>
      <c r="C312">
        <v>62.53</v>
      </c>
      <c r="D312">
        <v>62.8</v>
      </c>
      <c r="E312">
        <v>62.17</v>
      </c>
      <c r="F312" t="s">
        <v>825</v>
      </c>
      <c r="G312" s="50">
        <v>-6.1000000000000004E-3</v>
      </c>
    </row>
    <row r="313" spans="1:7" x14ac:dyDescent="0.25">
      <c r="A313" t="s">
        <v>826</v>
      </c>
      <c r="B313">
        <v>62.81</v>
      </c>
      <c r="C313">
        <v>63.12</v>
      </c>
      <c r="D313">
        <v>63.15</v>
      </c>
      <c r="E313">
        <v>62.38</v>
      </c>
      <c r="F313" t="s">
        <v>682</v>
      </c>
      <c r="G313" s="50">
        <v>8.6999999999999994E-3</v>
      </c>
    </row>
    <row r="314" spans="1:7" x14ac:dyDescent="0.25">
      <c r="A314" t="s">
        <v>827</v>
      </c>
      <c r="B314">
        <v>62.27</v>
      </c>
      <c r="C314">
        <v>62.74</v>
      </c>
      <c r="D314">
        <v>63.25</v>
      </c>
      <c r="E314">
        <v>62.21</v>
      </c>
      <c r="F314" t="s">
        <v>828</v>
      </c>
      <c r="G314" s="50">
        <v>0</v>
      </c>
    </row>
    <row r="315" spans="1:7" x14ac:dyDescent="0.25">
      <c r="A315" t="s">
        <v>829</v>
      </c>
      <c r="B315">
        <v>62.27</v>
      </c>
      <c r="C315">
        <v>62.82</v>
      </c>
      <c r="D315">
        <v>62.91</v>
      </c>
      <c r="E315">
        <v>62.07</v>
      </c>
      <c r="F315" t="s">
        <v>609</v>
      </c>
      <c r="G315" s="50">
        <v>-4.7999999999999996E-3</v>
      </c>
    </row>
    <row r="316" spans="1:7" x14ac:dyDescent="0.25">
      <c r="A316" t="s">
        <v>830</v>
      </c>
      <c r="B316">
        <v>62.57</v>
      </c>
      <c r="C316">
        <v>61.45</v>
      </c>
      <c r="D316">
        <v>62.71</v>
      </c>
      <c r="E316">
        <v>61.3</v>
      </c>
      <c r="F316" t="s">
        <v>831</v>
      </c>
      <c r="G316" s="50">
        <v>2.01E-2</v>
      </c>
    </row>
    <row r="317" spans="1:7" x14ac:dyDescent="0.25">
      <c r="A317" t="s">
        <v>832</v>
      </c>
      <c r="B317">
        <v>61.34</v>
      </c>
      <c r="C317">
        <v>60.84</v>
      </c>
      <c r="D317">
        <v>61.59</v>
      </c>
      <c r="E317">
        <v>60.73</v>
      </c>
      <c r="F317" t="s">
        <v>833</v>
      </c>
      <c r="G317" s="50">
        <v>4.8999999999999998E-3</v>
      </c>
    </row>
    <row r="318" spans="1:7" x14ac:dyDescent="0.25">
      <c r="A318" t="s">
        <v>834</v>
      </c>
      <c r="B318">
        <v>61.04</v>
      </c>
      <c r="C318">
        <v>60.19</v>
      </c>
      <c r="D318">
        <v>61.26</v>
      </c>
      <c r="E318">
        <v>59.55</v>
      </c>
      <c r="F318" t="s">
        <v>835</v>
      </c>
      <c r="G318" s="50">
        <v>7.3000000000000001E-3</v>
      </c>
    </row>
    <row r="319" spans="1:7" x14ac:dyDescent="0.25">
      <c r="A319" t="s">
        <v>836</v>
      </c>
      <c r="B319">
        <v>60.6</v>
      </c>
      <c r="C319">
        <v>60.53</v>
      </c>
      <c r="D319">
        <v>61.19</v>
      </c>
      <c r="E319">
        <v>60.46</v>
      </c>
      <c r="F319" t="s">
        <v>837</v>
      </c>
      <c r="G319" s="50">
        <v>2.0999999999999999E-3</v>
      </c>
    </row>
    <row r="320" spans="1:7" x14ac:dyDescent="0.25">
      <c r="A320" t="s">
        <v>838</v>
      </c>
      <c r="B320">
        <v>60.47</v>
      </c>
      <c r="C320">
        <v>60.47</v>
      </c>
      <c r="D320">
        <v>61.08</v>
      </c>
      <c r="E320">
        <v>60.25</v>
      </c>
      <c r="F320" t="s">
        <v>839</v>
      </c>
      <c r="G320" s="50">
        <v>1.54E-2</v>
      </c>
    </row>
    <row r="321" spans="1:7" x14ac:dyDescent="0.25">
      <c r="A321" t="s">
        <v>840</v>
      </c>
      <c r="B321">
        <v>59.55</v>
      </c>
      <c r="C321">
        <v>59.95</v>
      </c>
      <c r="D321">
        <v>60.54</v>
      </c>
      <c r="E321">
        <v>59.51</v>
      </c>
      <c r="F321" t="s">
        <v>841</v>
      </c>
      <c r="G321" s="50">
        <v>2E-3</v>
      </c>
    </row>
    <row r="322" spans="1:7" x14ac:dyDescent="0.25">
      <c r="A322" t="s">
        <v>842</v>
      </c>
      <c r="B322">
        <v>59.43</v>
      </c>
      <c r="C322">
        <v>59.02</v>
      </c>
      <c r="D322">
        <v>59.56</v>
      </c>
      <c r="E322">
        <v>58.92</v>
      </c>
      <c r="F322" t="s">
        <v>843</v>
      </c>
      <c r="G322" s="50">
        <v>5.8999999999999999E-3</v>
      </c>
    </row>
    <row r="323" spans="1:7" x14ac:dyDescent="0.25">
      <c r="A323" t="s">
        <v>844</v>
      </c>
      <c r="B323">
        <v>59.08</v>
      </c>
      <c r="C323">
        <v>61.39</v>
      </c>
      <c r="D323">
        <v>61.46</v>
      </c>
      <c r="E323">
        <v>58.76</v>
      </c>
      <c r="F323" t="s">
        <v>845</v>
      </c>
      <c r="G323" s="50">
        <v>-5.0599999999999999E-2</v>
      </c>
    </row>
    <row r="324" spans="1:7" x14ac:dyDescent="0.25">
      <c r="A324" t="s">
        <v>846</v>
      </c>
      <c r="B324">
        <v>62.23</v>
      </c>
      <c r="C324">
        <v>62.06</v>
      </c>
      <c r="D324">
        <v>62.29</v>
      </c>
      <c r="E324">
        <v>61.86</v>
      </c>
      <c r="F324" t="s">
        <v>847</v>
      </c>
      <c r="G324" s="50">
        <v>0</v>
      </c>
    </row>
    <row r="325" spans="1:7" x14ac:dyDescent="0.25">
      <c r="A325" t="s">
        <v>848</v>
      </c>
      <c r="B325">
        <v>62.23</v>
      </c>
      <c r="C325">
        <v>61.8</v>
      </c>
      <c r="D325">
        <v>62.31</v>
      </c>
      <c r="E325">
        <v>61.38</v>
      </c>
      <c r="F325" t="s">
        <v>849</v>
      </c>
      <c r="G325" s="50">
        <v>9.7000000000000003E-3</v>
      </c>
    </row>
    <row r="326" spans="1:7" x14ac:dyDescent="0.25">
      <c r="A326" t="s">
        <v>850</v>
      </c>
      <c r="B326">
        <v>61.63</v>
      </c>
      <c r="C326">
        <v>61.04</v>
      </c>
      <c r="D326">
        <v>61.76</v>
      </c>
      <c r="E326">
        <v>60.99</v>
      </c>
      <c r="F326" t="s">
        <v>851</v>
      </c>
      <c r="G326" s="50">
        <v>9.7999999999999997E-3</v>
      </c>
    </row>
    <row r="327" spans="1:7" x14ac:dyDescent="0.25">
      <c r="A327" t="s">
        <v>852</v>
      </c>
      <c r="B327">
        <v>61.03</v>
      </c>
      <c r="C327">
        <v>60.47</v>
      </c>
      <c r="D327">
        <v>61.33</v>
      </c>
      <c r="E327">
        <v>60.28</v>
      </c>
      <c r="F327" t="s">
        <v>853</v>
      </c>
      <c r="G327" s="50">
        <v>1.3299999999999999E-2</v>
      </c>
    </row>
    <row r="328" spans="1:7" x14ac:dyDescent="0.25">
      <c r="A328" t="s">
        <v>854</v>
      </c>
      <c r="B328">
        <v>60.23</v>
      </c>
      <c r="C328">
        <v>60.76</v>
      </c>
      <c r="D328">
        <v>60.95</v>
      </c>
      <c r="E328">
        <v>60.2</v>
      </c>
      <c r="F328" t="s">
        <v>855</v>
      </c>
      <c r="G328" s="50">
        <v>6.8999999999999999E-3</v>
      </c>
    </row>
    <row r="329" spans="1:7" x14ac:dyDescent="0.25">
      <c r="A329" t="s">
        <v>856</v>
      </c>
      <c r="B329">
        <v>59.82</v>
      </c>
      <c r="C329">
        <v>60.18</v>
      </c>
      <c r="D329">
        <v>60.45</v>
      </c>
      <c r="E329">
        <v>59.78</v>
      </c>
      <c r="F329" t="s">
        <v>857</v>
      </c>
      <c r="G329" s="50">
        <v>-2.7000000000000001E-3</v>
      </c>
    </row>
    <row r="330" spans="1:7" x14ac:dyDescent="0.25">
      <c r="A330" t="s">
        <v>858</v>
      </c>
      <c r="B330">
        <v>59.98</v>
      </c>
      <c r="C330">
        <v>59.86</v>
      </c>
      <c r="D330">
        <v>60.34</v>
      </c>
      <c r="E330">
        <v>59.59</v>
      </c>
      <c r="F330" t="s">
        <v>859</v>
      </c>
      <c r="G330" s="50">
        <v>1.0999999999999999E-2</v>
      </c>
    </row>
    <row r="331" spans="1:7" x14ac:dyDescent="0.25">
      <c r="A331" t="s">
        <v>860</v>
      </c>
      <c r="B331">
        <v>59.33</v>
      </c>
      <c r="C331">
        <v>58.97</v>
      </c>
      <c r="D331">
        <v>59.34</v>
      </c>
      <c r="E331">
        <v>58.75</v>
      </c>
      <c r="F331" t="s">
        <v>861</v>
      </c>
      <c r="G331" s="50">
        <v>9.7000000000000003E-3</v>
      </c>
    </row>
    <row r="332" spans="1:7" x14ac:dyDescent="0.25">
      <c r="A332" t="s">
        <v>862</v>
      </c>
      <c r="B332">
        <v>58.76</v>
      </c>
      <c r="C332">
        <v>58.92</v>
      </c>
      <c r="D332">
        <v>58.93</v>
      </c>
      <c r="E332">
        <v>58.17</v>
      </c>
      <c r="F332" t="s">
        <v>863</v>
      </c>
      <c r="G332" s="50">
        <v>2.9999999999999997E-4</v>
      </c>
    </row>
    <row r="333" spans="1:7" x14ac:dyDescent="0.25">
      <c r="A333" t="s">
        <v>864</v>
      </c>
      <c r="B333">
        <v>58.74</v>
      </c>
      <c r="C333">
        <v>58.79</v>
      </c>
      <c r="D333">
        <v>59.06</v>
      </c>
      <c r="E333">
        <v>58.54</v>
      </c>
      <c r="F333" t="s">
        <v>865</v>
      </c>
      <c r="G333" s="50">
        <v>-7.7999999999999996E-3</v>
      </c>
    </row>
    <row r="334" spans="1:7" x14ac:dyDescent="0.25">
      <c r="A334" t="s">
        <v>866</v>
      </c>
      <c r="B334">
        <v>59.2</v>
      </c>
      <c r="C334">
        <v>58.89</v>
      </c>
      <c r="D334">
        <v>59.24</v>
      </c>
      <c r="E334">
        <v>58.27</v>
      </c>
      <c r="F334" t="s">
        <v>867</v>
      </c>
      <c r="G334" s="50">
        <v>4.5999999999999999E-3</v>
      </c>
    </row>
    <row r="335" spans="1:7" x14ac:dyDescent="0.25">
      <c r="A335" t="s">
        <v>868</v>
      </c>
      <c r="B335">
        <v>58.93</v>
      </c>
      <c r="C335">
        <v>58.97</v>
      </c>
      <c r="D335">
        <v>59.24</v>
      </c>
      <c r="E335">
        <v>58.65</v>
      </c>
      <c r="F335" t="s">
        <v>869</v>
      </c>
      <c r="G335" s="50">
        <v>2.7000000000000001E-3</v>
      </c>
    </row>
    <row r="336" spans="1:7" x14ac:dyDescent="0.25">
      <c r="A336" t="s">
        <v>870</v>
      </c>
      <c r="B336">
        <v>58.77</v>
      </c>
      <c r="C336">
        <v>58.91</v>
      </c>
      <c r="D336">
        <v>59.58</v>
      </c>
      <c r="E336">
        <v>58.58</v>
      </c>
      <c r="F336" t="s">
        <v>326</v>
      </c>
      <c r="G336" s="50">
        <v>-1.5E-3</v>
      </c>
    </row>
    <row r="337" spans="1:7" x14ac:dyDescent="0.25">
      <c r="A337" t="s">
        <v>871</v>
      </c>
      <c r="B337">
        <v>58.86</v>
      </c>
      <c r="C337">
        <v>58.84</v>
      </c>
      <c r="D337">
        <v>59.17</v>
      </c>
      <c r="E337">
        <v>58.36</v>
      </c>
      <c r="F337" t="s">
        <v>872</v>
      </c>
      <c r="G337" s="50">
        <v>-4.1000000000000003E-3</v>
      </c>
    </row>
    <row r="338" spans="1:7" x14ac:dyDescent="0.25">
      <c r="A338" t="s">
        <v>873</v>
      </c>
      <c r="B338">
        <v>59.1</v>
      </c>
      <c r="C338">
        <v>59.27</v>
      </c>
      <c r="D338">
        <v>59.68</v>
      </c>
      <c r="E338">
        <v>58.57</v>
      </c>
      <c r="F338" t="s">
        <v>874</v>
      </c>
      <c r="G338" s="50">
        <v>-1.6999999999999999E-3</v>
      </c>
    </row>
    <row r="339" spans="1:7" x14ac:dyDescent="0.25">
      <c r="A339" t="s">
        <v>875</v>
      </c>
      <c r="B339">
        <v>59.2</v>
      </c>
      <c r="C339">
        <v>59.22</v>
      </c>
      <c r="D339">
        <v>59.38</v>
      </c>
      <c r="E339">
        <v>58.76</v>
      </c>
      <c r="F339" t="s">
        <v>876</v>
      </c>
      <c r="G339" s="50">
        <v>2.0000000000000001E-4</v>
      </c>
    </row>
    <row r="340" spans="1:7" x14ac:dyDescent="0.25">
      <c r="A340" t="s">
        <v>877</v>
      </c>
      <c r="B340">
        <v>59.19</v>
      </c>
      <c r="C340">
        <v>59.09</v>
      </c>
      <c r="D340">
        <v>59.39</v>
      </c>
      <c r="E340">
        <v>58.41</v>
      </c>
      <c r="F340" t="s">
        <v>878</v>
      </c>
      <c r="G340" s="50">
        <v>-7.0000000000000001E-3</v>
      </c>
    </row>
    <row r="341" spans="1:7" x14ac:dyDescent="0.25">
      <c r="A341" t="s">
        <v>879</v>
      </c>
      <c r="B341">
        <v>59.61</v>
      </c>
      <c r="C341">
        <v>59.57</v>
      </c>
      <c r="D341">
        <v>60.02</v>
      </c>
      <c r="E341">
        <v>59.13</v>
      </c>
      <c r="F341" t="s">
        <v>880</v>
      </c>
      <c r="G341" s="50">
        <v>-6.1999999999999998E-3</v>
      </c>
    </row>
    <row r="342" spans="1:7" x14ac:dyDescent="0.25">
      <c r="A342" t="s">
        <v>881</v>
      </c>
      <c r="B342">
        <v>59.98</v>
      </c>
      <c r="C342">
        <v>59.62</v>
      </c>
      <c r="D342">
        <v>60.06</v>
      </c>
      <c r="E342">
        <v>59.4</v>
      </c>
      <c r="F342" t="s">
        <v>882</v>
      </c>
      <c r="G342" s="50">
        <v>2.2000000000000001E-3</v>
      </c>
    </row>
    <row r="343" spans="1:7" x14ac:dyDescent="0.25">
      <c r="A343" t="s">
        <v>883</v>
      </c>
      <c r="B343">
        <v>59.85</v>
      </c>
      <c r="C343">
        <v>58.8</v>
      </c>
      <c r="D343">
        <v>59.85</v>
      </c>
      <c r="E343">
        <v>58.8</v>
      </c>
      <c r="F343" t="s">
        <v>884</v>
      </c>
      <c r="G343" s="50">
        <v>1.4800000000000001E-2</v>
      </c>
    </row>
    <row r="344" spans="1:7" x14ac:dyDescent="0.25">
      <c r="A344" t="s">
        <v>885</v>
      </c>
      <c r="B344">
        <v>58.98</v>
      </c>
      <c r="C344">
        <v>58.13</v>
      </c>
      <c r="D344">
        <v>59.01</v>
      </c>
      <c r="E344">
        <v>58.12</v>
      </c>
      <c r="F344" t="s">
        <v>886</v>
      </c>
      <c r="G344" s="50">
        <v>7.9000000000000008E-3</v>
      </c>
    </row>
    <row r="345" spans="1:7" x14ac:dyDescent="0.25">
      <c r="A345" t="s">
        <v>887</v>
      </c>
      <c r="B345">
        <v>58.52</v>
      </c>
      <c r="C345">
        <v>57.57</v>
      </c>
      <c r="D345">
        <v>58.78</v>
      </c>
      <c r="E345">
        <v>57.27</v>
      </c>
      <c r="F345" t="s">
        <v>888</v>
      </c>
      <c r="G345" s="50">
        <v>1.54E-2</v>
      </c>
    </row>
    <row r="346" spans="1:7" x14ac:dyDescent="0.25">
      <c r="A346" t="s">
        <v>889</v>
      </c>
      <c r="B346">
        <v>57.63</v>
      </c>
      <c r="C346">
        <v>57.39</v>
      </c>
      <c r="D346">
        <v>58.14</v>
      </c>
      <c r="E346">
        <v>57.34</v>
      </c>
      <c r="F346" t="s">
        <v>522</v>
      </c>
      <c r="G346" s="50">
        <v>1.6999999999999999E-3</v>
      </c>
    </row>
    <row r="347" spans="1:7" x14ac:dyDescent="0.25">
      <c r="A347" t="s">
        <v>890</v>
      </c>
      <c r="B347">
        <v>57.53</v>
      </c>
      <c r="C347">
        <v>58.71</v>
      </c>
      <c r="D347">
        <v>58.71</v>
      </c>
      <c r="E347">
        <v>57.48</v>
      </c>
      <c r="F347" t="s">
        <v>891</v>
      </c>
      <c r="G347" s="50">
        <v>-1.6899999999999998E-2</v>
      </c>
    </row>
    <row r="348" spans="1:7" x14ac:dyDescent="0.25">
      <c r="A348" t="s">
        <v>892</v>
      </c>
      <c r="B348">
        <v>58.52</v>
      </c>
      <c r="C348">
        <v>58.38</v>
      </c>
      <c r="D348">
        <v>59.07</v>
      </c>
      <c r="E348">
        <v>58.17</v>
      </c>
      <c r="F348" t="s">
        <v>893</v>
      </c>
      <c r="G348" s="50">
        <v>2.8999999999999998E-3</v>
      </c>
    </row>
    <row r="349" spans="1:7" x14ac:dyDescent="0.25">
      <c r="A349" t="s">
        <v>894</v>
      </c>
      <c r="B349">
        <v>58.35</v>
      </c>
      <c r="C349">
        <v>58.47</v>
      </c>
      <c r="D349">
        <v>58.49</v>
      </c>
      <c r="E349">
        <v>57.85</v>
      </c>
      <c r="F349" t="s">
        <v>895</v>
      </c>
      <c r="G349" s="50">
        <v>-4.5999999999999999E-3</v>
      </c>
    </row>
    <row r="350" spans="1:7" x14ac:dyDescent="0.25">
      <c r="A350" t="s">
        <v>896</v>
      </c>
      <c r="B350">
        <v>58.62</v>
      </c>
      <c r="C350">
        <v>58.62</v>
      </c>
      <c r="D350">
        <v>58.94</v>
      </c>
      <c r="E350">
        <v>58.38</v>
      </c>
      <c r="F350" t="s">
        <v>512</v>
      </c>
      <c r="G350" s="50">
        <v>-3.8999999999999998E-3</v>
      </c>
    </row>
    <row r="351" spans="1:7" x14ac:dyDescent="0.25">
      <c r="A351" t="s">
        <v>897</v>
      </c>
      <c r="B351">
        <v>58.85</v>
      </c>
      <c r="C351">
        <v>58.69</v>
      </c>
      <c r="D351">
        <v>59.74</v>
      </c>
      <c r="E351">
        <v>58.63</v>
      </c>
      <c r="F351" t="s">
        <v>825</v>
      </c>
      <c r="G351" s="50">
        <v>4.4000000000000003E-3</v>
      </c>
    </row>
    <row r="352" spans="1:7" x14ac:dyDescent="0.25">
      <c r="A352" t="s">
        <v>898</v>
      </c>
      <c r="B352">
        <v>58.59</v>
      </c>
      <c r="C352">
        <v>58.88</v>
      </c>
      <c r="D352">
        <v>58.96</v>
      </c>
      <c r="E352">
        <v>58.31</v>
      </c>
      <c r="F352" t="s">
        <v>321</v>
      </c>
      <c r="G352" s="50">
        <v>-2.2000000000000001E-3</v>
      </c>
    </row>
    <row r="353" spans="1:7" x14ac:dyDescent="0.25">
      <c r="A353" t="s">
        <v>899</v>
      </c>
      <c r="B353">
        <v>58.72</v>
      </c>
      <c r="C353">
        <v>58.5</v>
      </c>
      <c r="D353">
        <v>58.86</v>
      </c>
      <c r="E353">
        <v>58.13</v>
      </c>
      <c r="F353" t="s">
        <v>900</v>
      </c>
      <c r="G353" s="50">
        <v>-3.8999999999999998E-3</v>
      </c>
    </row>
    <row r="354" spans="1:7" x14ac:dyDescent="0.25">
      <c r="A354" t="s">
        <v>901</v>
      </c>
      <c r="B354">
        <v>58.95</v>
      </c>
      <c r="C354">
        <v>59.83</v>
      </c>
      <c r="D354">
        <v>59.88</v>
      </c>
      <c r="E354">
        <v>58.86</v>
      </c>
      <c r="F354" t="s">
        <v>902</v>
      </c>
      <c r="G354" s="50">
        <v>-1.5699999999999999E-2</v>
      </c>
    </row>
    <row r="355" spans="1:7" x14ac:dyDescent="0.25">
      <c r="A355" t="s">
        <v>903</v>
      </c>
      <c r="B355">
        <v>59.89</v>
      </c>
      <c r="C355">
        <v>60</v>
      </c>
      <c r="D355">
        <v>60.08</v>
      </c>
      <c r="E355">
        <v>59.76</v>
      </c>
      <c r="F355" t="s">
        <v>445</v>
      </c>
      <c r="G355" s="50">
        <v>-2.2000000000000001E-3</v>
      </c>
    </row>
    <row r="356" spans="1:7" x14ac:dyDescent="0.25">
      <c r="A356" t="s">
        <v>904</v>
      </c>
      <c r="B356">
        <v>60.02</v>
      </c>
      <c r="C356">
        <v>59.79</v>
      </c>
      <c r="D356">
        <v>60.23</v>
      </c>
      <c r="E356">
        <v>59.7</v>
      </c>
      <c r="F356" t="s">
        <v>905</v>
      </c>
      <c r="G356" s="50">
        <v>6.7000000000000002E-3</v>
      </c>
    </row>
    <row r="357" spans="1:7" x14ac:dyDescent="0.25">
      <c r="A357" t="s">
        <v>906</v>
      </c>
      <c r="B357">
        <v>59.62</v>
      </c>
      <c r="C357">
        <v>59.64</v>
      </c>
      <c r="D357">
        <v>59.84</v>
      </c>
      <c r="E357">
        <v>59.26</v>
      </c>
      <c r="F357" t="s">
        <v>907</v>
      </c>
      <c r="G357" s="50">
        <v>2.3999999999999998E-3</v>
      </c>
    </row>
    <row r="358" spans="1:7" x14ac:dyDescent="0.25">
      <c r="A358" t="s">
        <v>908</v>
      </c>
      <c r="B358">
        <v>59.48</v>
      </c>
      <c r="C358">
        <v>59.43</v>
      </c>
      <c r="D358">
        <v>59.53</v>
      </c>
      <c r="E358">
        <v>59.17</v>
      </c>
      <c r="F358" t="s">
        <v>909</v>
      </c>
      <c r="G358" s="50">
        <v>8.0000000000000004E-4</v>
      </c>
    </row>
    <row r="359" spans="1:7" x14ac:dyDescent="0.25">
      <c r="A359" t="s">
        <v>910</v>
      </c>
      <c r="B359">
        <v>59.43</v>
      </c>
      <c r="C359">
        <v>59.25</v>
      </c>
      <c r="D359">
        <v>59.7</v>
      </c>
      <c r="E359">
        <v>59.14</v>
      </c>
      <c r="F359" t="s">
        <v>911</v>
      </c>
      <c r="G359" s="50">
        <v>3.7000000000000002E-3</v>
      </c>
    </row>
    <row r="360" spans="1:7" x14ac:dyDescent="0.25">
      <c r="A360" t="s">
        <v>912</v>
      </c>
      <c r="B360">
        <v>59.21</v>
      </c>
      <c r="C360">
        <v>59.07</v>
      </c>
      <c r="D360">
        <v>59.59</v>
      </c>
      <c r="E360">
        <v>59.04</v>
      </c>
      <c r="F360" t="s">
        <v>913</v>
      </c>
      <c r="G360" s="50">
        <v>-1.2999999999999999E-3</v>
      </c>
    </row>
    <row r="361" spans="1:7" x14ac:dyDescent="0.25">
      <c r="A361" t="s">
        <v>914</v>
      </c>
      <c r="B361">
        <v>59.29</v>
      </c>
      <c r="C361">
        <v>59.61</v>
      </c>
      <c r="D361">
        <v>59.87</v>
      </c>
      <c r="E361">
        <v>58.93</v>
      </c>
      <c r="F361" t="s">
        <v>915</v>
      </c>
      <c r="G361" s="50">
        <v>-5.0000000000000001E-3</v>
      </c>
    </row>
    <row r="362" spans="1:7" x14ac:dyDescent="0.25">
      <c r="A362" t="s">
        <v>916</v>
      </c>
      <c r="B362">
        <v>59.59</v>
      </c>
      <c r="C362">
        <v>59</v>
      </c>
      <c r="D362">
        <v>59.64</v>
      </c>
      <c r="E362">
        <v>58.94</v>
      </c>
      <c r="F362" t="s">
        <v>849</v>
      </c>
      <c r="G362" s="50">
        <v>1.4500000000000001E-2</v>
      </c>
    </row>
    <row r="363" spans="1:7" x14ac:dyDescent="0.25">
      <c r="A363" t="s">
        <v>917</v>
      </c>
      <c r="B363">
        <v>58.74</v>
      </c>
      <c r="C363">
        <v>58.65</v>
      </c>
      <c r="D363">
        <v>58.96</v>
      </c>
      <c r="E363">
        <v>58.26</v>
      </c>
      <c r="F363" t="s">
        <v>918</v>
      </c>
      <c r="G363" s="50">
        <v>3.2000000000000002E-3</v>
      </c>
    </row>
    <row r="364" spans="1:7" x14ac:dyDescent="0.25">
      <c r="A364" t="s">
        <v>919</v>
      </c>
      <c r="B364">
        <v>58.55</v>
      </c>
      <c r="C364">
        <v>57.59</v>
      </c>
      <c r="D364">
        <v>58.7</v>
      </c>
      <c r="E364">
        <v>57.46</v>
      </c>
      <c r="F364" t="s">
        <v>568</v>
      </c>
      <c r="G364" s="50">
        <v>1.72E-2</v>
      </c>
    </row>
    <row r="365" spans="1:7" x14ac:dyDescent="0.25">
      <c r="A365" t="s">
        <v>920</v>
      </c>
      <c r="B365">
        <v>57.56</v>
      </c>
      <c r="C365">
        <v>57.29</v>
      </c>
      <c r="D365">
        <v>57.93</v>
      </c>
      <c r="E365">
        <v>57.1</v>
      </c>
      <c r="F365" t="s">
        <v>921</v>
      </c>
      <c r="G365" s="50">
        <v>1E-3</v>
      </c>
    </row>
    <row r="366" spans="1:7" x14ac:dyDescent="0.25">
      <c r="A366" t="s">
        <v>922</v>
      </c>
      <c r="B366">
        <v>57.5</v>
      </c>
      <c r="C366">
        <v>56.84</v>
      </c>
      <c r="D366">
        <v>57.5</v>
      </c>
      <c r="E366">
        <v>56.61</v>
      </c>
      <c r="F366" t="s">
        <v>781</v>
      </c>
      <c r="G366" s="50">
        <v>8.6E-3</v>
      </c>
    </row>
    <row r="367" spans="1:7" x14ac:dyDescent="0.25">
      <c r="A367" t="s">
        <v>923</v>
      </c>
      <c r="B367">
        <v>57.01</v>
      </c>
      <c r="C367">
        <v>56.68</v>
      </c>
      <c r="D367">
        <v>57.04</v>
      </c>
      <c r="E367">
        <v>56.35</v>
      </c>
      <c r="F367" t="s">
        <v>710</v>
      </c>
      <c r="G367" s="50">
        <v>-5.1999999999999998E-3</v>
      </c>
    </row>
    <row r="368" spans="1:7" x14ac:dyDescent="0.25">
      <c r="A368" t="s">
        <v>924</v>
      </c>
      <c r="B368">
        <v>57.31</v>
      </c>
      <c r="C368">
        <v>57.55</v>
      </c>
      <c r="D368">
        <v>57.99</v>
      </c>
      <c r="E368">
        <v>57.23</v>
      </c>
      <c r="F368" t="s">
        <v>636</v>
      </c>
      <c r="G368" s="50">
        <v>-2.5999999999999999E-3</v>
      </c>
    </row>
    <row r="369" spans="1:7" x14ac:dyDescent="0.25">
      <c r="A369" t="s">
        <v>925</v>
      </c>
      <c r="B369">
        <v>57.46</v>
      </c>
      <c r="C369">
        <v>57.45</v>
      </c>
      <c r="D369">
        <v>58.1</v>
      </c>
      <c r="E369">
        <v>57.23</v>
      </c>
      <c r="F369" t="s">
        <v>926</v>
      </c>
      <c r="G369" s="50">
        <v>-7.9000000000000008E-3</v>
      </c>
    </row>
    <row r="370" spans="1:7" x14ac:dyDescent="0.25">
      <c r="A370" t="s">
        <v>927</v>
      </c>
      <c r="B370">
        <v>57.92</v>
      </c>
      <c r="C370">
        <v>58.99</v>
      </c>
      <c r="D370">
        <v>58.99</v>
      </c>
      <c r="E370">
        <v>57.52</v>
      </c>
      <c r="F370" t="s">
        <v>928</v>
      </c>
      <c r="G370" s="50">
        <v>-2.1299999999999999E-2</v>
      </c>
    </row>
    <row r="371" spans="1:7" x14ac:dyDescent="0.25">
      <c r="A371" t="s">
        <v>929</v>
      </c>
      <c r="B371">
        <v>59.18</v>
      </c>
      <c r="C371">
        <v>58.15</v>
      </c>
      <c r="D371">
        <v>59.28</v>
      </c>
      <c r="E371">
        <v>57.84</v>
      </c>
      <c r="F371" t="s">
        <v>930</v>
      </c>
      <c r="G371" s="50">
        <v>8.0000000000000002E-3</v>
      </c>
    </row>
    <row r="372" spans="1:7" x14ac:dyDescent="0.25">
      <c r="A372" t="s">
        <v>931</v>
      </c>
      <c r="B372">
        <v>58.71</v>
      </c>
      <c r="C372">
        <v>58.76</v>
      </c>
      <c r="D372">
        <v>59.03</v>
      </c>
      <c r="E372">
        <v>58.43</v>
      </c>
      <c r="F372" t="s">
        <v>932</v>
      </c>
      <c r="G372" s="50">
        <v>1.4E-3</v>
      </c>
    </row>
    <row r="373" spans="1:7" x14ac:dyDescent="0.25">
      <c r="A373" t="s">
        <v>933</v>
      </c>
      <c r="B373">
        <v>58.63</v>
      </c>
      <c r="C373">
        <v>59</v>
      </c>
      <c r="D373">
        <v>59.38</v>
      </c>
      <c r="E373">
        <v>58.36</v>
      </c>
      <c r="F373" t="s">
        <v>934</v>
      </c>
      <c r="G373" s="50">
        <v>9.7999999999999997E-3</v>
      </c>
    </row>
    <row r="374" spans="1:7" x14ac:dyDescent="0.25">
      <c r="A374" t="s">
        <v>935</v>
      </c>
      <c r="B374">
        <v>58.06</v>
      </c>
      <c r="C374">
        <v>58.09</v>
      </c>
      <c r="D374">
        <v>58.2</v>
      </c>
      <c r="E374">
        <v>57.65</v>
      </c>
      <c r="F374" t="s">
        <v>301</v>
      </c>
      <c r="G374" s="50">
        <v>-2.9999999999999997E-4</v>
      </c>
    </row>
    <row r="375" spans="1:7" x14ac:dyDescent="0.25">
      <c r="A375" t="s">
        <v>936</v>
      </c>
      <c r="B375">
        <v>58.08</v>
      </c>
      <c r="C375">
        <v>57.8</v>
      </c>
      <c r="D375">
        <v>58.3</v>
      </c>
      <c r="E375">
        <v>57.54</v>
      </c>
      <c r="F375" t="s">
        <v>937</v>
      </c>
      <c r="G375" s="50">
        <v>3.5999999999999999E-3</v>
      </c>
    </row>
    <row r="376" spans="1:7" x14ac:dyDescent="0.25">
      <c r="A376" t="s">
        <v>938</v>
      </c>
      <c r="B376">
        <v>57.87</v>
      </c>
      <c r="C376">
        <v>57.19</v>
      </c>
      <c r="D376">
        <v>58.08</v>
      </c>
      <c r="E376">
        <v>56.96</v>
      </c>
      <c r="F376" t="s">
        <v>939</v>
      </c>
      <c r="G376" s="50">
        <v>3.04E-2</v>
      </c>
    </row>
    <row r="377" spans="1:7" x14ac:dyDescent="0.25">
      <c r="A377" t="s">
        <v>940</v>
      </c>
      <c r="B377">
        <v>56.16</v>
      </c>
      <c r="C377">
        <v>55.9</v>
      </c>
      <c r="D377">
        <v>56.27</v>
      </c>
      <c r="E377">
        <v>55.5</v>
      </c>
      <c r="F377" t="s">
        <v>941</v>
      </c>
      <c r="G377" s="50">
        <v>5.8999999999999999E-3</v>
      </c>
    </row>
    <row r="378" spans="1:7" x14ac:dyDescent="0.25">
      <c r="A378" t="s">
        <v>942</v>
      </c>
      <c r="B378">
        <v>55.83</v>
      </c>
      <c r="C378">
        <v>55.45</v>
      </c>
      <c r="D378">
        <v>55.91</v>
      </c>
      <c r="E378">
        <v>55.12</v>
      </c>
      <c r="F378" t="s">
        <v>943</v>
      </c>
      <c r="G378" s="50">
        <v>5.8999999999999999E-3</v>
      </c>
    </row>
    <row r="379" spans="1:7" x14ac:dyDescent="0.25">
      <c r="A379" t="s">
        <v>944</v>
      </c>
      <c r="B379">
        <v>55.5</v>
      </c>
      <c r="C379">
        <v>54.74</v>
      </c>
      <c r="D379">
        <v>55.81</v>
      </c>
      <c r="E379">
        <v>54.53</v>
      </c>
      <c r="F379" t="s">
        <v>945</v>
      </c>
      <c r="G379" s="50">
        <v>1.3299999999999999E-2</v>
      </c>
    </row>
    <row r="380" spans="1:7" x14ac:dyDescent="0.25">
      <c r="A380" t="s">
        <v>946</v>
      </c>
      <c r="B380">
        <v>54.77</v>
      </c>
      <c r="C380">
        <v>55.43</v>
      </c>
      <c r="D380">
        <v>55.51</v>
      </c>
      <c r="E380">
        <v>54.71</v>
      </c>
      <c r="F380" t="s">
        <v>947</v>
      </c>
      <c r="G380" s="50">
        <v>-1.4800000000000001E-2</v>
      </c>
    </row>
    <row r="381" spans="1:7" x14ac:dyDescent="0.25">
      <c r="A381" t="s">
        <v>948</v>
      </c>
      <c r="B381">
        <v>55.59</v>
      </c>
      <c r="C381">
        <v>55.57</v>
      </c>
      <c r="D381">
        <v>56.04</v>
      </c>
      <c r="E381">
        <v>55.37</v>
      </c>
      <c r="F381" t="s">
        <v>949</v>
      </c>
      <c r="G381" s="50">
        <v>-1.6000000000000001E-3</v>
      </c>
    </row>
    <row r="382" spans="1:7" x14ac:dyDescent="0.25">
      <c r="A382" t="s">
        <v>950</v>
      </c>
      <c r="B382">
        <v>55.68</v>
      </c>
      <c r="C382">
        <v>55.37</v>
      </c>
      <c r="D382">
        <v>56.1</v>
      </c>
      <c r="E382">
        <v>55.27</v>
      </c>
      <c r="F382" t="s">
        <v>951</v>
      </c>
      <c r="G382" s="50">
        <v>7.1999999999999998E-3</v>
      </c>
    </row>
    <row r="383" spans="1:7" x14ac:dyDescent="0.25">
      <c r="A383" t="s">
        <v>952</v>
      </c>
      <c r="B383">
        <v>55.28</v>
      </c>
      <c r="C383">
        <v>55.9</v>
      </c>
      <c r="D383">
        <v>55.98</v>
      </c>
      <c r="E383">
        <v>55.21</v>
      </c>
      <c r="F383" t="s">
        <v>953</v>
      </c>
      <c r="G383" s="50">
        <v>-8.3000000000000001E-3</v>
      </c>
    </row>
    <row r="384" spans="1:7" x14ac:dyDescent="0.25">
      <c r="A384" t="s">
        <v>954</v>
      </c>
      <c r="B384">
        <v>55.74</v>
      </c>
      <c r="C384">
        <v>56.25</v>
      </c>
      <c r="D384">
        <v>56.63</v>
      </c>
      <c r="E384">
        <v>55.67</v>
      </c>
      <c r="F384" t="s">
        <v>955</v>
      </c>
      <c r="G384" s="50">
        <v>-3.8999999999999998E-3</v>
      </c>
    </row>
    <row r="385" spans="1:7" x14ac:dyDescent="0.25">
      <c r="A385" t="s">
        <v>956</v>
      </c>
      <c r="B385">
        <v>55.96</v>
      </c>
      <c r="C385">
        <v>56.38</v>
      </c>
      <c r="D385">
        <v>56.55</v>
      </c>
      <c r="E385">
        <v>55.81</v>
      </c>
      <c r="F385" t="s">
        <v>632</v>
      </c>
      <c r="G385" s="50">
        <v>-5.7000000000000002E-3</v>
      </c>
    </row>
    <row r="386" spans="1:7" x14ac:dyDescent="0.25">
      <c r="A386" t="s">
        <v>957</v>
      </c>
      <c r="B386">
        <v>56.28</v>
      </c>
      <c r="C386">
        <v>56.16</v>
      </c>
      <c r="D386">
        <v>56.59</v>
      </c>
      <c r="E386">
        <v>55.99</v>
      </c>
      <c r="F386" t="s">
        <v>958</v>
      </c>
      <c r="G386" s="50">
        <v>-5.7000000000000002E-3</v>
      </c>
    </row>
    <row r="387" spans="1:7" x14ac:dyDescent="0.25">
      <c r="A387" t="s">
        <v>959</v>
      </c>
      <c r="B387">
        <v>56.6</v>
      </c>
      <c r="C387">
        <v>56</v>
      </c>
      <c r="D387">
        <v>56.9</v>
      </c>
      <c r="E387">
        <v>55.86</v>
      </c>
      <c r="F387" t="s">
        <v>960</v>
      </c>
      <c r="G387" s="50">
        <v>2.0000000000000001E-4</v>
      </c>
    </row>
    <row r="388" spans="1:7" x14ac:dyDescent="0.25">
      <c r="A388" t="s">
        <v>961</v>
      </c>
      <c r="B388">
        <v>56.59</v>
      </c>
      <c r="C388">
        <v>56.69</v>
      </c>
      <c r="D388">
        <v>57.06</v>
      </c>
      <c r="E388">
        <v>56.51</v>
      </c>
      <c r="F388" t="s">
        <v>713</v>
      </c>
      <c r="G388" s="50">
        <v>-3.0000000000000001E-3</v>
      </c>
    </row>
    <row r="389" spans="1:7" x14ac:dyDescent="0.25">
      <c r="A389" t="s">
        <v>962</v>
      </c>
      <c r="B389">
        <v>56.76</v>
      </c>
      <c r="C389">
        <v>56.41</v>
      </c>
      <c r="D389">
        <v>56.87</v>
      </c>
      <c r="E389">
        <v>56.21</v>
      </c>
      <c r="F389" t="s">
        <v>963</v>
      </c>
      <c r="G389" s="50">
        <v>6.4000000000000003E-3</v>
      </c>
    </row>
    <row r="390" spans="1:7" x14ac:dyDescent="0.25">
      <c r="A390" t="s">
        <v>964</v>
      </c>
      <c r="B390">
        <v>56.4</v>
      </c>
      <c r="C390">
        <v>56.38</v>
      </c>
      <c r="D390">
        <v>56.58</v>
      </c>
      <c r="E390">
        <v>55.85</v>
      </c>
      <c r="F390" t="s">
        <v>965</v>
      </c>
      <c r="G390" s="50">
        <v>4.0000000000000002E-4</v>
      </c>
    </row>
    <row r="391" spans="1:7" x14ac:dyDescent="0.25">
      <c r="A391" t="s">
        <v>966</v>
      </c>
      <c r="B391">
        <v>56.38</v>
      </c>
      <c r="C391">
        <v>55</v>
      </c>
      <c r="D391">
        <v>56.41</v>
      </c>
      <c r="E391">
        <v>54.83</v>
      </c>
      <c r="F391" t="s">
        <v>967</v>
      </c>
      <c r="G391" s="50">
        <v>4.2500000000000003E-2</v>
      </c>
    </row>
    <row r="392" spans="1:7" x14ac:dyDescent="0.25">
      <c r="A392" t="s">
        <v>968</v>
      </c>
      <c r="B392">
        <v>54.08</v>
      </c>
      <c r="C392">
        <v>54.42</v>
      </c>
      <c r="D392">
        <v>54.61</v>
      </c>
      <c r="E392">
        <v>53.92</v>
      </c>
      <c r="F392" t="s">
        <v>297</v>
      </c>
      <c r="G392" s="50">
        <v>-3.5000000000000001E-3</v>
      </c>
    </row>
    <row r="393" spans="1:7" x14ac:dyDescent="0.25">
      <c r="A393" t="s">
        <v>969</v>
      </c>
      <c r="B393">
        <v>54.27</v>
      </c>
      <c r="C393">
        <v>54.31</v>
      </c>
      <c r="D393">
        <v>54.4</v>
      </c>
      <c r="E393">
        <v>53.79</v>
      </c>
      <c r="F393" t="s">
        <v>970</v>
      </c>
      <c r="G393" s="50">
        <v>4.0000000000000002E-4</v>
      </c>
    </row>
    <row r="394" spans="1:7" x14ac:dyDescent="0.25">
      <c r="A394" t="s">
        <v>971</v>
      </c>
      <c r="B394">
        <v>54.25</v>
      </c>
      <c r="C394">
        <v>53.52</v>
      </c>
      <c r="D394">
        <v>54.33</v>
      </c>
      <c r="E394">
        <v>53.52</v>
      </c>
      <c r="F394" t="s">
        <v>915</v>
      </c>
      <c r="G394" s="50">
        <v>1.3299999999999999E-2</v>
      </c>
    </row>
    <row r="395" spans="1:7" x14ac:dyDescent="0.25">
      <c r="A395" t="s">
        <v>972</v>
      </c>
      <c r="B395">
        <v>53.54</v>
      </c>
      <c r="C395">
        <v>53.7</v>
      </c>
      <c r="D395">
        <v>53.81</v>
      </c>
      <c r="E395">
        <v>53.42</v>
      </c>
      <c r="F395" t="s">
        <v>973</v>
      </c>
      <c r="G395" s="50">
        <v>-4.0000000000000002E-4</v>
      </c>
    </row>
    <row r="396" spans="1:7" x14ac:dyDescent="0.25">
      <c r="A396" t="s">
        <v>974</v>
      </c>
      <c r="B396">
        <v>53.56</v>
      </c>
      <c r="C396">
        <v>52.65</v>
      </c>
      <c r="D396">
        <v>53.67</v>
      </c>
      <c r="E396">
        <v>52.54</v>
      </c>
      <c r="F396" t="s">
        <v>975</v>
      </c>
      <c r="G396" s="50">
        <v>1.5699999999999999E-2</v>
      </c>
    </row>
    <row r="397" spans="1:7" x14ac:dyDescent="0.25">
      <c r="A397" t="s">
        <v>976</v>
      </c>
      <c r="B397">
        <v>52.73</v>
      </c>
      <c r="C397">
        <v>52.64</v>
      </c>
      <c r="D397">
        <v>52.77</v>
      </c>
      <c r="E397">
        <v>52.19</v>
      </c>
      <c r="F397" t="s">
        <v>977</v>
      </c>
      <c r="G397" s="50">
        <v>4.1999999999999997E-3</v>
      </c>
    </row>
    <row r="398" spans="1:7" x14ac:dyDescent="0.25">
      <c r="A398" t="s">
        <v>978</v>
      </c>
      <c r="B398">
        <v>52.51</v>
      </c>
      <c r="C398">
        <v>52.58</v>
      </c>
      <c r="D398">
        <v>52.85</v>
      </c>
      <c r="E398">
        <v>52.37</v>
      </c>
      <c r="F398" t="s">
        <v>979</v>
      </c>
      <c r="G398" s="50">
        <v>-4.4999999999999997E-3</v>
      </c>
    </row>
    <row r="399" spans="1:7" x14ac:dyDescent="0.25">
      <c r="A399" t="s">
        <v>980</v>
      </c>
      <c r="B399">
        <v>52.75</v>
      </c>
      <c r="C399">
        <v>52.8</v>
      </c>
      <c r="D399">
        <v>52.91</v>
      </c>
      <c r="E399">
        <v>52.41</v>
      </c>
      <c r="F399" t="s">
        <v>981</v>
      </c>
      <c r="G399" s="50">
        <v>6.1000000000000004E-3</v>
      </c>
    </row>
    <row r="400" spans="1:7" x14ac:dyDescent="0.25">
      <c r="A400" t="s">
        <v>982</v>
      </c>
      <c r="B400">
        <v>52.43</v>
      </c>
      <c r="C400">
        <v>52.19</v>
      </c>
      <c r="D400">
        <v>52.66</v>
      </c>
      <c r="E400">
        <v>52.16</v>
      </c>
      <c r="F400" t="s">
        <v>983</v>
      </c>
      <c r="G400" s="50">
        <v>-3.5999999999999999E-3</v>
      </c>
    </row>
    <row r="401" spans="1:7" x14ac:dyDescent="0.25">
      <c r="A401" t="s">
        <v>984</v>
      </c>
      <c r="B401">
        <v>52.62</v>
      </c>
      <c r="C401">
        <v>52.4</v>
      </c>
      <c r="D401">
        <v>52.83</v>
      </c>
      <c r="E401">
        <v>52.13</v>
      </c>
      <c r="F401" t="s">
        <v>985</v>
      </c>
      <c r="G401" s="50">
        <v>-2.3E-3</v>
      </c>
    </row>
    <row r="402" spans="1:7" x14ac:dyDescent="0.25">
      <c r="A402" t="s">
        <v>986</v>
      </c>
      <c r="B402">
        <v>52.74</v>
      </c>
      <c r="C402">
        <v>53.11</v>
      </c>
      <c r="D402">
        <v>53.2</v>
      </c>
      <c r="E402">
        <v>52.31</v>
      </c>
      <c r="F402" t="s">
        <v>987</v>
      </c>
      <c r="G402" s="50">
        <v>-8.9999999999999993E-3</v>
      </c>
    </row>
    <row r="403" spans="1:7" x14ac:dyDescent="0.25">
      <c r="A403" t="s">
        <v>988</v>
      </c>
      <c r="B403">
        <v>53.22</v>
      </c>
      <c r="C403">
        <v>53.02</v>
      </c>
      <c r="D403">
        <v>53.31</v>
      </c>
      <c r="E403">
        <v>52.65</v>
      </c>
      <c r="F403" t="s">
        <v>389</v>
      </c>
      <c r="G403" s="50">
        <v>3.8E-3</v>
      </c>
    </row>
    <row r="404" spans="1:7" x14ac:dyDescent="0.25">
      <c r="A404" t="s">
        <v>989</v>
      </c>
      <c r="B404">
        <v>53.02</v>
      </c>
      <c r="C404">
        <v>53.04</v>
      </c>
      <c r="D404">
        <v>53.22</v>
      </c>
      <c r="E404">
        <v>52.86</v>
      </c>
      <c r="F404" t="s">
        <v>990</v>
      </c>
      <c r="G404" s="50">
        <v>3.2000000000000002E-3</v>
      </c>
    </row>
    <row r="405" spans="1:7" x14ac:dyDescent="0.25">
      <c r="A405" t="s">
        <v>991</v>
      </c>
      <c r="B405">
        <v>52.85</v>
      </c>
      <c r="C405">
        <v>53</v>
      </c>
      <c r="D405">
        <v>53.29</v>
      </c>
      <c r="E405">
        <v>52.76</v>
      </c>
      <c r="F405" t="s">
        <v>992</v>
      </c>
      <c r="G405" s="50">
        <v>3.8E-3</v>
      </c>
    </row>
    <row r="406" spans="1:7" x14ac:dyDescent="0.25">
      <c r="A406" t="s">
        <v>993</v>
      </c>
      <c r="B406">
        <v>52.65</v>
      </c>
      <c r="C406">
        <v>52.57</v>
      </c>
      <c r="D406">
        <v>52.73</v>
      </c>
      <c r="E406">
        <v>52.37</v>
      </c>
      <c r="F406" t="s">
        <v>994</v>
      </c>
      <c r="G406" s="50">
        <v>2.5000000000000001E-3</v>
      </c>
    </row>
    <row r="407" spans="1:7" x14ac:dyDescent="0.25">
      <c r="A407" t="s">
        <v>995</v>
      </c>
      <c r="B407">
        <v>52.52</v>
      </c>
      <c r="C407">
        <v>52.21</v>
      </c>
      <c r="D407">
        <v>52.57</v>
      </c>
      <c r="E407">
        <v>52.01</v>
      </c>
      <c r="F407" t="s">
        <v>996</v>
      </c>
      <c r="G407" s="50">
        <v>6.3E-3</v>
      </c>
    </row>
    <row r="408" spans="1:7" x14ac:dyDescent="0.25">
      <c r="A408" t="s">
        <v>997</v>
      </c>
      <c r="B408">
        <v>52.19</v>
      </c>
      <c r="C408">
        <v>52.06</v>
      </c>
      <c r="D408">
        <v>52.44</v>
      </c>
      <c r="E408">
        <v>51.89</v>
      </c>
      <c r="F408" t="s">
        <v>998</v>
      </c>
      <c r="G408" s="50">
        <v>4.1999999999999997E-3</v>
      </c>
    </row>
    <row r="409" spans="1:7" x14ac:dyDescent="0.25">
      <c r="A409" t="s">
        <v>999</v>
      </c>
      <c r="B409">
        <v>51.97</v>
      </c>
      <c r="C409">
        <v>51.45</v>
      </c>
      <c r="D409">
        <v>52.33</v>
      </c>
      <c r="E409">
        <v>51.42</v>
      </c>
      <c r="F409" t="s">
        <v>1000</v>
      </c>
      <c r="G409" s="50">
        <v>1.03E-2</v>
      </c>
    </row>
    <row r="410" spans="1:7" x14ac:dyDescent="0.25">
      <c r="A410" t="s">
        <v>1001</v>
      </c>
      <c r="B410">
        <v>51.44</v>
      </c>
      <c r="C410">
        <v>51.41</v>
      </c>
      <c r="D410">
        <v>51.72</v>
      </c>
      <c r="E410">
        <v>51.15</v>
      </c>
      <c r="F410" t="s">
        <v>1002</v>
      </c>
      <c r="G410" s="50">
        <v>1.72E-2</v>
      </c>
    </row>
    <row r="411" spans="1:7" x14ac:dyDescent="0.25">
      <c r="A411" t="s">
        <v>1003</v>
      </c>
      <c r="B411">
        <v>50.57</v>
      </c>
      <c r="C411">
        <v>50.39</v>
      </c>
      <c r="D411">
        <v>51.14</v>
      </c>
      <c r="E411">
        <v>50.27</v>
      </c>
      <c r="F411" t="s">
        <v>915</v>
      </c>
      <c r="G411" s="50">
        <v>-8.0000000000000004E-4</v>
      </c>
    </row>
    <row r="412" spans="1:7" x14ac:dyDescent="0.25">
      <c r="A412" t="s">
        <v>1004</v>
      </c>
      <c r="B412">
        <v>50.61</v>
      </c>
      <c r="C412">
        <v>51.02</v>
      </c>
      <c r="D412">
        <v>51.42</v>
      </c>
      <c r="E412">
        <v>50.57</v>
      </c>
      <c r="F412" t="s">
        <v>1005</v>
      </c>
      <c r="G412" s="50">
        <v>-8.2000000000000007E-3</v>
      </c>
    </row>
    <row r="413" spans="1:7" x14ac:dyDescent="0.25">
      <c r="A413" t="s">
        <v>1006</v>
      </c>
      <c r="B413">
        <v>51.03</v>
      </c>
      <c r="C413">
        <v>49.88</v>
      </c>
      <c r="D413">
        <v>51.07</v>
      </c>
      <c r="E413">
        <v>49.78</v>
      </c>
      <c r="F413" t="s">
        <v>430</v>
      </c>
      <c r="G413" s="50">
        <v>2.47E-2</v>
      </c>
    </row>
    <row r="414" spans="1:7" x14ac:dyDescent="0.25">
      <c r="A414" t="s">
        <v>1007</v>
      </c>
      <c r="B414">
        <v>49.8</v>
      </c>
      <c r="C414">
        <v>49.74</v>
      </c>
      <c r="D414">
        <v>50.06</v>
      </c>
      <c r="E414">
        <v>49.67</v>
      </c>
      <c r="F414" t="s">
        <v>1008</v>
      </c>
      <c r="G414" s="50">
        <v>3.8E-3</v>
      </c>
    </row>
    <row r="415" spans="1:7" x14ac:dyDescent="0.25">
      <c r="A415" t="s">
        <v>1009</v>
      </c>
      <c r="B415">
        <v>49.61</v>
      </c>
      <c r="C415">
        <v>49.09</v>
      </c>
      <c r="D415">
        <v>49.64</v>
      </c>
      <c r="E415">
        <v>48.86</v>
      </c>
      <c r="F415" t="s">
        <v>1010</v>
      </c>
      <c r="G415" s="50">
        <v>1.0200000000000001E-2</v>
      </c>
    </row>
    <row r="416" spans="1:7" x14ac:dyDescent="0.25">
      <c r="A416" t="s">
        <v>1011</v>
      </c>
      <c r="B416">
        <v>49.11</v>
      </c>
      <c r="C416">
        <v>48.75</v>
      </c>
      <c r="D416">
        <v>49.21</v>
      </c>
      <c r="E416">
        <v>47.85</v>
      </c>
      <c r="F416" t="s">
        <v>1012</v>
      </c>
      <c r="G416" s="50">
        <v>6.6E-3</v>
      </c>
    </row>
    <row r="417" spans="1:7" x14ac:dyDescent="0.25">
      <c r="A417" t="s">
        <v>1013</v>
      </c>
      <c r="B417">
        <v>48.79</v>
      </c>
      <c r="C417">
        <v>48.79</v>
      </c>
      <c r="D417">
        <v>48.97</v>
      </c>
      <c r="E417">
        <v>48.44</v>
      </c>
      <c r="F417" t="s">
        <v>909</v>
      </c>
      <c r="G417" s="50">
        <v>1.8E-3</v>
      </c>
    </row>
    <row r="418" spans="1:7" x14ac:dyDescent="0.25">
      <c r="A418" t="s">
        <v>1014</v>
      </c>
      <c r="B418">
        <v>48.7</v>
      </c>
      <c r="C418">
        <v>48.47</v>
      </c>
      <c r="D418">
        <v>49.15</v>
      </c>
      <c r="E418">
        <v>48.26</v>
      </c>
      <c r="F418" t="s">
        <v>1015</v>
      </c>
      <c r="G418" s="50">
        <v>4.1000000000000003E-3</v>
      </c>
    </row>
    <row r="419" spans="1:7" x14ac:dyDescent="0.25">
      <c r="A419" t="s">
        <v>1016</v>
      </c>
      <c r="B419">
        <v>48.5</v>
      </c>
      <c r="C419">
        <v>48.87</v>
      </c>
      <c r="D419">
        <v>49.23</v>
      </c>
      <c r="E419">
        <v>48.2</v>
      </c>
      <c r="F419" t="s">
        <v>1017</v>
      </c>
      <c r="G419" s="50">
        <v>-1.2800000000000001E-2</v>
      </c>
    </row>
    <row r="420" spans="1:7" x14ac:dyDescent="0.25">
      <c r="A420" t="s">
        <v>1018</v>
      </c>
      <c r="B420">
        <v>49.13</v>
      </c>
      <c r="C420">
        <v>49.5</v>
      </c>
      <c r="D420">
        <v>49.65</v>
      </c>
      <c r="E420">
        <v>48.94</v>
      </c>
      <c r="F420" t="s">
        <v>1019</v>
      </c>
      <c r="G420" s="50">
        <v>-1.15E-2</v>
      </c>
    </row>
    <row r="421" spans="1:7" x14ac:dyDescent="0.25">
      <c r="A421" t="s">
        <v>1020</v>
      </c>
      <c r="B421">
        <v>49.7</v>
      </c>
      <c r="C421">
        <v>49.82</v>
      </c>
      <c r="D421">
        <v>50.04</v>
      </c>
      <c r="E421">
        <v>49.58</v>
      </c>
      <c r="F421" t="s">
        <v>1021</v>
      </c>
      <c r="G421" s="50">
        <v>-7.1999999999999998E-3</v>
      </c>
    </row>
    <row r="422" spans="1:7" x14ac:dyDescent="0.25">
      <c r="A422" t="s">
        <v>1022</v>
      </c>
      <c r="B422">
        <v>50.06</v>
      </c>
      <c r="C422">
        <v>50.31</v>
      </c>
      <c r="D422">
        <v>50.5</v>
      </c>
      <c r="E422">
        <v>49.9</v>
      </c>
      <c r="F422" t="s">
        <v>1023</v>
      </c>
      <c r="G422" s="50">
        <v>-9.4999999999999998E-3</v>
      </c>
    </row>
    <row r="423" spans="1:7" x14ac:dyDescent="0.25">
      <c r="A423" t="s">
        <v>1024</v>
      </c>
      <c r="B423">
        <v>50.54</v>
      </c>
      <c r="C423">
        <v>50.55</v>
      </c>
      <c r="D423">
        <v>50.69</v>
      </c>
      <c r="E423">
        <v>50.07</v>
      </c>
      <c r="F423" t="s">
        <v>1025</v>
      </c>
      <c r="G423" s="50">
        <v>3.0000000000000001E-3</v>
      </c>
    </row>
    <row r="424" spans="1:7" x14ac:dyDescent="0.25">
      <c r="A424" t="s">
        <v>1026</v>
      </c>
      <c r="B424">
        <v>50.39</v>
      </c>
      <c r="C424">
        <v>49.97</v>
      </c>
      <c r="D424">
        <v>50.82</v>
      </c>
      <c r="E424">
        <v>49.88</v>
      </c>
      <c r="F424" t="s">
        <v>1027</v>
      </c>
      <c r="G424" s="50">
        <v>1.0800000000000001E-2</v>
      </c>
    </row>
    <row r="425" spans="1:7" x14ac:dyDescent="0.25">
      <c r="A425" t="s">
        <v>1028</v>
      </c>
      <c r="B425">
        <v>49.85</v>
      </c>
      <c r="C425">
        <v>50.45</v>
      </c>
      <c r="D425">
        <v>50.57</v>
      </c>
      <c r="E425">
        <v>49.41</v>
      </c>
      <c r="F425" t="s">
        <v>1029</v>
      </c>
      <c r="G425" s="50">
        <v>-1.7000000000000001E-2</v>
      </c>
    </row>
    <row r="426" spans="1:7" x14ac:dyDescent="0.25">
      <c r="A426" t="s">
        <v>1030</v>
      </c>
      <c r="B426">
        <v>50.71</v>
      </c>
      <c r="C426">
        <v>50.67</v>
      </c>
      <c r="D426">
        <v>50.84</v>
      </c>
      <c r="E426">
        <v>50.4</v>
      </c>
      <c r="F426" t="s">
        <v>1031</v>
      </c>
      <c r="G426" s="50">
        <v>-1.6000000000000001E-3</v>
      </c>
    </row>
    <row r="427" spans="1:7" x14ac:dyDescent="0.25">
      <c r="A427" t="s">
        <v>1032</v>
      </c>
      <c r="B427">
        <v>50.79</v>
      </c>
      <c r="C427">
        <v>50.79</v>
      </c>
      <c r="D427">
        <v>51.01</v>
      </c>
      <c r="E427">
        <v>50.72</v>
      </c>
      <c r="F427" t="s">
        <v>1033</v>
      </c>
      <c r="G427" s="50">
        <v>1E-3</v>
      </c>
    </row>
    <row r="428" spans="1:7" x14ac:dyDescent="0.25">
      <c r="A428" t="s">
        <v>1034</v>
      </c>
      <c r="B428">
        <v>50.74</v>
      </c>
      <c r="C428">
        <v>50.51</v>
      </c>
      <c r="D428">
        <v>50.77</v>
      </c>
      <c r="E428">
        <v>50.32</v>
      </c>
      <c r="F428" t="s">
        <v>479</v>
      </c>
      <c r="G428" s="50">
        <v>1.04E-2</v>
      </c>
    </row>
    <row r="429" spans="1:7" x14ac:dyDescent="0.25">
      <c r="A429" t="s">
        <v>1035</v>
      </c>
      <c r="B429">
        <v>50.22</v>
      </c>
      <c r="C429">
        <v>50.72</v>
      </c>
      <c r="D429">
        <v>50.93</v>
      </c>
      <c r="E429">
        <v>50.18</v>
      </c>
      <c r="F429" t="s">
        <v>1036</v>
      </c>
      <c r="G429" s="50">
        <v>-4.5999999999999999E-3</v>
      </c>
    </row>
    <row r="430" spans="1:7" x14ac:dyDescent="0.25">
      <c r="A430" t="s">
        <v>1037</v>
      </c>
      <c r="B430">
        <v>50.45</v>
      </c>
      <c r="C430">
        <v>50.29</v>
      </c>
      <c r="D430">
        <v>50.55</v>
      </c>
      <c r="E430">
        <v>50.03</v>
      </c>
      <c r="F430" t="s">
        <v>638</v>
      </c>
      <c r="G430" s="50">
        <v>4.1999999999999997E-3</v>
      </c>
    </row>
    <row r="431" spans="1:7" x14ac:dyDescent="0.25">
      <c r="A431" t="s">
        <v>1038</v>
      </c>
      <c r="B431">
        <v>50.24</v>
      </c>
      <c r="C431">
        <v>49.98</v>
      </c>
      <c r="D431">
        <v>50.37</v>
      </c>
      <c r="E431">
        <v>49.6</v>
      </c>
      <c r="F431" t="s">
        <v>1039</v>
      </c>
      <c r="G431" s="50">
        <v>5.1999999999999998E-3</v>
      </c>
    </row>
    <row r="432" spans="1:7" x14ac:dyDescent="0.25">
      <c r="A432" t="s">
        <v>1040</v>
      </c>
      <c r="B432">
        <v>49.98</v>
      </c>
      <c r="C432">
        <v>49.33</v>
      </c>
      <c r="D432">
        <v>49.99</v>
      </c>
      <c r="E432">
        <v>49.3</v>
      </c>
      <c r="F432" t="s">
        <v>1041</v>
      </c>
      <c r="G432" s="50">
        <v>1.0500000000000001E-2</v>
      </c>
    </row>
    <row r="433" spans="1:7" x14ac:dyDescent="0.25">
      <c r="A433" t="s">
        <v>1042</v>
      </c>
      <c r="B433">
        <v>49.46</v>
      </c>
      <c r="C433">
        <v>48.64</v>
      </c>
      <c r="D433">
        <v>49.73</v>
      </c>
      <c r="E433">
        <v>48.5</v>
      </c>
      <c r="F433" t="s">
        <v>790</v>
      </c>
      <c r="G433" s="50">
        <v>1.9199999999999998E-2</v>
      </c>
    </row>
    <row r="434" spans="1:7" x14ac:dyDescent="0.25">
      <c r="A434" t="s">
        <v>1043</v>
      </c>
      <c r="B434">
        <v>48.53</v>
      </c>
      <c r="C434">
        <v>48.75</v>
      </c>
      <c r="D434">
        <v>50.28</v>
      </c>
      <c r="E434">
        <v>48.16</v>
      </c>
      <c r="F434" t="s">
        <v>1044</v>
      </c>
      <c r="G434" s="50">
        <v>6.8000000000000005E-2</v>
      </c>
    </row>
    <row r="435" spans="1:7" x14ac:dyDescent="0.25">
      <c r="A435" t="s">
        <v>1045</v>
      </c>
      <c r="B435">
        <v>45.44</v>
      </c>
      <c r="C435">
        <v>45.14</v>
      </c>
      <c r="D435">
        <v>45.74</v>
      </c>
      <c r="E435">
        <v>45.04</v>
      </c>
      <c r="F435" t="s">
        <v>1046</v>
      </c>
      <c r="G435" s="50">
        <v>1.5E-3</v>
      </c>
    </row>
    <row r="436" spans="1:7" x14ac:dyDescent="0.25">
      <c r="A436" t="s">
        <v>1047</v>
      </c>
      <c r="B436">
        <v>45.37</v>
      </c>
      <c r="C436">
        <v>44.98</v>
      </c>
      <c r="D436">
        <v>45.38</v>
      </c>
      <c r="E436">
        <v>44.89</v>
      </c>
      <c r="F436" t="s">
        <v>1048</v>
      </c>
      <c r="G436" s="50">
        <v>1.14E-2</v>
      </c>
    </row>
    <row r="437" spans="1:7" x14ac:dyDescent="0.25">
      <c r="A437" t="s">
        <v>1049</v>
      </c>
      <c r="B437">
        <v>44.86</v>
      </c>
      <c r="C437">
        <v>45.53</v>
      </c>
      <c r="D437">
        <v>45.74</v>
      </c>
      <c r="E437">
        <v>44.5</v>
      </c>
      <c r="F437" t="s">
        <v>1050</v>
      </c>
      <c r="G437" s="50">
        <v>-1.34E-2</v>
      </c>
    </row>
    <row r="438" spans="1:7" x14ac:dyDescent="0.25">
      <c r="A438" t="s">
        <v>1051</v>
      </c>
      <c r="B438">
        <v>45.47</v>
      </c>
      <c r="C438">
        <v>45.7</v>
      </c>
      <c r="D438">
        <v>46.06</v>
      </c>
      <c r="E438">
        <v>45.24</v>
      </c>
      <c r="F438" t="s">
        <v>1052</v>
      </c>
      <c r="G438" s="50">
        <v>-7.9000000000000008E-3</v>
      </c>
    </row>
    <row r="439" spans="1:7" x14ac:dyDescent="0.25">
      <c r="A439" t="s">
        <v>1053</v>
      </c>
      <c r="B439">
        <v>45.83</v>
      </c>
      <c r="C439">
        <v>45.28</v>
      </c>
      <c r="D439">
        <v>46.26</v>
      </c>
      <c r="E439">
        <v>45.28</v>
      </c>
      <c r="F439" t="s">
        <v>992</v>
      </c>
      <c r="G439" s="50">
        <v>1.5699999999999999E-2</v>
      </c>
    </row>
    <row r="440" spans="1:7" x14ac:dyDescent="0.25">
      <c r="A440" t="s">
        <v>1054</v>
      </c>
      <c r="B440">
        <v>45.12</v>
      </c>
      <c r="C440">
        <v>45.42</v>
      </c>
      <c r="D440">
        <v>46.21</v>
      </c>
      <c r="E440">
        <v>45.09</v>
      </c>
      <c r="F440" t="s">
        <v>1055</v>
      </c>
      <c r="G440" s="50">
        <v>-8.9999999999999998E-4</v>
      </c>
    </row>
    <row r="441" spans="1:7" x14ac:dyDescent="0.25">
      <c r="A441" t="s">
        <v>1056</v>
      </c>
      <c r="B441">
        <v>45.16</v>
      </c>
      <c r="C441">
        <v>44.75</v>
      </c>
      <c r="D441">
        <v>45.74</v>
      </c>
      <c r="E441">
        <v>44.64</v>
      </c>
      <c r="F441" t="s">
        <v>1057</v>
      </c>
      <c r="G441" s="50">
        <v>9.4000000000000004E-3</v>
      </c>
    </row>
    <row r="442" spans="1:7" x14ac:dyDescent="0.25">
      <c r="A442" t="s">
        <v>1058</v>
      </c>
      <c r="B442">
        <v>44.74</v>
      </c>
      <c r="C442">
        <v>46.55</v>
      </c>
      <c r="D442">
        <v>46.68</v>
      </c>
      <c r="E442">
        <v>44.69</v>
      </c>
      <c r="F442" t="s">
        <v>1059</v>
      </c>
      <c r="G442" s="50">
        <v>-4.1099999999999998E-2</v>
      </c>
    </row>
    <row r="443" spans="1:7" x14ac:dyDescent="0.25">
      <c r="A443" t="s">
        <v>1060</v>
      </c>
      <c r="B443">
        <v>46.66</v>
      </c>
      <c r="C443">
        <v>47.68</v>
      </c>
      <c r="D443">
        <v>47.75</v>
      </c>
      <c r="E443">
        <v>46.35</v>
      </c>
      <c r="F443" t="s">
        <v>382</v>
      </c>
      <c r="G443" s="50">
        <v>-1.54E-2</v>
      </c>
    </row>
    <row r="444" spans="1:7" x14ac:dyDescent="0.25">
      <c r="A444" t="s">
        <v>1061</v>
      </c>
      <c r="B444">
        <v>47.39</v>
      </c>
      <c r="C444">
        <v>48.62</v>
      </c>
      <c r="D444">
        <v>48.72</v>
      </c>
      <c r="E444">
        <v>47.2</v>
      </c>
      <c r="F444" t="s">
        <v>1062</v>
      </c>
      <c r="G444" s="50">
        <v>-2.1899999999999999E-2</v>
      </c>
    </row>
    <row r="445" spans="1:7" x14ac:dyDescent="0.25">
      <c r="A445" t="s">
        <v>1063</v>
      </c>
      <c r="B445">
        <v>48.45</v>
      </c>
      <c r="C445">
        <v>48.41</v>
      </c>
      <c r="D445">
        <v>48.77</v>
      </c>
      <c r="E445">
        <v>48.24</v>
      </c>
      <c r="F445" t="s">
        <v>1064</v>
      </c>
      <c r="G445" s="50">
        <v>6.4000000000000003E-3</v>
      </c>
    </row>
    <row r="446" spans="1:7" x14ac:dyDescent="0.25">
      <c r="A446" t="s">
        <v>1065</v>
      </c>
      <c r="B446">
        <v>48.14</v>
      </c>
      <c r="C446">
        <v>48.19</v>
      </c>
      <c r="D446">
        <v>48.55</v>
      </c>
      <c r="E446">
        <v>47.89</v>
      </c>
      <c r="F446" t="s">
        <v>1066</v>
      </c>
      <c r="G446" s="50">
        <v>3.0999999999999999E-3</v>
      </c>
    </row>
    <row r="447" spans="1:7" x14ac:dyDescent="0.25">
      <c r="A447" s="38" t="s">
        <v>1067</v>
      </c>
      <c r="B447" s="38">
        <v>47.99</v>
      </c>
      <c r="C447">
        <v>47.82</v>
      </c>
      <c r="D447">
        <v>48.21</v>
      </c>
      <c r="E447">
        <v>47.44</v>
      </c>
      <c r="F447" t="s">
        <v>1068</v>
      </c>
      <c r="G447" s="50">
        <v>2.3E-3</v>
      </c>
    </row>
    <row r="448" spans="1:7" x14ac:dyDescent="0.25">
      <c r="A448" t="s">
        <v>1069</v>
      </c>
      <c r="B448">
        <v>47.88</v>
      </c>
      <c r="C448">
        <v>47.32</v>
      </c>
      <c r="D448">
        <v>48.01</v>
      </c>
      <c r="E448">
        <v>47.24</v>
      </c>
      <c r="F448" t="s">
        <v>241</v>
      </c>
      <c r="G448" s="50">
        <v>1.35E-2</v>
      </c>
    </row>
    <row r="449" spans="1:7" x14ac:dyDescent="0.25">
      <c r="A449" t="s">
        <v>1070</v>
      </c>
      <c r="B449">
        <v>47.24</v>
      </c>
      <c r="C449">
        <v>47.37</v>
      </c>
      <c r="D449">
        <v>48.19</v>
      </c>
      <c r="E449">
        <v>47.06</v>
      </c>
      <c r="F449" t="s">
        <v>1071</v>
      </c>
      <c r="G449" s="50">
        <v>8.3000000000000001E-3</v>
      </c>
    </row>
    <row r="450" spans="1:7" x14ac:dyDescent="0.25">
      <c r="A450" t="s">
        <v>1072</v>
      </c>
      <c r="B450">
        <v>46.85</v>
      </c>
      <c r="C450">
        <v>46.53</v>
      </c>
      <c r="D450">
        <v>47.03</v>
      </c>
      <c r="E450">
        <v>46.24</v>
      </c>
      <c r="F450" t="s">
        <v>1073</v>
      </c>
      <c r="G450" s="50">
        <v>1.06E-2</v>
      </c>
    </row>
    <row r="451" spans="1:7" x14ac:dyDescent="0.25">
      <c r="A451" t="s">
        <v>1074</v>
      </c>
      <c r="B451">
        <v>46.36</v>
      </c>
      <c r="C451">
        <v>46.74</v>
      </c>
      <c r="D451">
        <v>46.78</v>
      </c>
      <c r="E451">
        <v>46.34</v>
      </c>
      <c r="F451" t="s">
        <v>1075</v>
      </c>
      <c r="G451" s="50">
        <v>-9.7999999999999997E-3</v>
      </c>
    </row>
    <row r="452" spans="1:7" x14ac:dyDescent="0.25">
      <c r="A452" t="s">
        <v>1076</v>
      </c>
      <c r="B452">
        <v>46.82</v>
      </c>
      <c r="C452">
        <v>47.32</v>
      </c>
      <c r="D452">
        <v>47.38</v>
      </c>
      <c r="E452">
        <v>46.77</v>
      </c>
      <c r="F452" t="s">
        <v>492</v>
      </c>
      <c r="G452" s="50">
        <v>-1.06E-2</v>
      </c>
    </row>
    <row r="453" spans="1:7" x14ac:dyDescent="0.25">
      <c r="A453" t="s">
        <v>1077</v>
      </c>
      <c r="B453">
        <v>47.32</v>
      </c>
      <c r="C453">
        <v>48.09</v>
      </c>
      <c r="D453">
        <v>48.1</v>
      </c>
      <c r="E453">
        <v>47.14</v>
      </c>
      <c r="F453" t="s">
        <v>1078</v>
      </c>
      <c r="G453" s="50">
        <v>-1.4999999999999999E-2</v>
      </c>
    </row>
    <row r="454" spans="1:7" x14ac:dyDescent="0.25">
      <c r="A454" t="s">
        <v>1079</v>
      </c>
      <c r="B454">
        <v>48.04</v>
      </c>
      <c r="C454">
        <v>48.15</v>
      </c>
      <c r="D454">
        <v>48.64</v>
      </c>
      <c r="E454">
        <v>47.98</v>
      </c>
      <c r="F454" t="s">
        <v>1080</v>
      </c>
      <c r="G454" s="50">
        <v>-9.9000000000000008E-3</v>
      </c>
    </row>
    <row r="455" spans="1:7" x14ac:dyDescent="0.25">
      <c r="A455" t="s">
        <v>1081</v>
      </c>
      <c r="B455">
        <v>48.52</v>
      </c>
      <c r="C455">
        <v>47.46</v>
      </c>
      <c r="D455">
        <v>48.74</v>
      </c>
      <c r="E455">
        <v>47.35</v>
      </c>
      <c r="F455" t="s">
        <v>1082</v>
      </c>
      <c r="G455" s="50">
        <v>2.3199999999999998E-2</v>
      </c>
    </row>
    <row r="456" spans="1:7" x14ac:dyDescent="0.25">
      <c r="A456" t="s">
        <v>1083</v>
      </c>
      <c r="B456">
        <v>47.42</v>
      </c>
      <c r="C456">
        <v>47.45</v>
      </c>
      <c r="D456">
        <v>47.97</v>
      </c>
      <c r="E456">
        <v>47.22</v>
      </c>
      <c r="F456" t="s">
        <v>1084</v>
      </c>
      <c r="G456" s="50">
        <v>4.0000000000000002E-4</v>
      </c>
    </row>
    <row r="457" spans="1:7" x14ac:dyDescent="0.25">
      <c r="A457" t="s">
        <v>1085</v>
      </c>
      <c r="B457">
        <v>47.4</v>
      </c>
      <c r="C457">
        <v>47.41</v>
      </c>
      <c r="D457">
        <v>47.49</v>
      </c>
      <c r="E457">
        <v>46.78</v>
      </c>
      <c r="F457" t="s">
        <v>1086</v>
      </c>
      <c r="G457" s="50">
        <v>4.0000000000000002E-4</v>
      </c>
    </row>
    <row r="458" spans="1:7" x14ac:dyDescent="0.25">
      <c r="A458" t="s">
        <v>1087</v>
      </c>
      <c r="B458">
        <v>47.38</v>
      </c>
      <c r="C458">
        <v>46.78</v>
      </c>
      <c r="D458">
        <v>47.85</v>
      </c>
      <c r="E458">
        <v>46.65</v>
      </c>
      <c r="F458" t="s">
        <v>675</v>
      </c>
      <c r="G458" s="50">
        <v>1.3299999999999999E-2</v>
      </c>
    </row>
    <row r="459" spans="1:7" x14ac:dyDescent="0.25">
      <c r="A459" t="s">
        <v>1088</v>
      </c>
      <c r="B459">
        <v>46.76</v>
      </c>
      <c r="C459">
        <v>46.17</v>
      </c>
      <c r="D459">
        <v>46.91</v>
      </c>
      <c r="E459">
        <v>46.17</v>
      </c>
      <c r="F459" t="s">
        <v>1089</v>
      </c>
      <c r="G459" s="50">
        <v>1.06E-2</v>
      </c>
    </row>
    <row r="460" spans="1:7" x14ac:dyDescent="0.25">
      <c r="A460" t="s">
        <v>1090</v>
      </c>
      <c r="B460">
        <v>46.27</v>
      </c>
      <c r="C460">
        <v>46.06</v>
      </c>
      <c r="D460">
        <v>46.29</v>
      </c>
      <c r="E460">
        <v>45.83</v>
      </c>
      <c r="F460" t="s">
        <v>1091</v>
      </c>
      <c r="G460" s="50">
        <v>1.03E-2</v>
      </c>
    </row>
    <row r="461" spans="1:7" x14ac:dyDescent="0.25">
      <c r="A461" t="s">
        <v>1092</v>
      </c>
      <c r="B461">
        <v>45.8</v>
      </c>
      <c r="C461">
        <v>46</v>
      </c>
      <c r="D461">
        <v>46.1</v>
      </c>
      <c r="E461">
        <v>45.65</v>
      </c>
      <c r="F461" t="s">
        <v>1093</v>
      </c>
      <c r="G461" s="50">
        <v>-5.5999999999999999E-3</v>
      </c>
    </row>
    <row r="462" spans="1:7" x14ac:dyDescent="0.25">
      <c r="A462" t="s">
        <v>1094</v>
      </c>
      <c r="B462">
        <v>46.06</v>
      </c>
      <c r="C462">
        <v>46.35</v>
      </c>
      <c r="D462">
        <v>46.78</v>
      </c>
      <c r="E462">
        <v>45.95</v>
      </c>
      <c r="F462" t="s">
        <v>1095</v>
      </c>
      <c r="G462" s="50">
        <v>-1.26E-2</v>
      </c>
    </row>
    <row r="463" spans="1:7" x14ac:dyDescent="0.25">
      <c r="A463" t="s">
        <v>1096</v>
      </c>
      <c r="B463">
        <v>46.65</v>
      </c>
      <c r="C463">
        <v>46.43</v>
      </c>
      <c r="D463">
        <v>46.76</v>
      </c>
      <c r="E463">
        <v>46.31</v>
      </c>
      <c r="F463" t="s">
        <v>554</v>
      </c>
      <c r="G463" s="50">
        <v>-9.2999999999999992E-3</v>
      </c>
    </row>
    <row r="464" spans="1:7" x14ac:dyDescent="0.25">
      <c r="A464" t="s">
        <v>1097</v>
      </c>
      <c r="B464">
        <v>47.09</v>
      </c>
      <c r="C464">
        <v>47.15</v>
      </c>
      <c r="D464">
        <v>47.52</v>
      </c>
      <c r="E464">
        <v>47.04</v>
      </c>
      <c r="F464" t="s">
        <v>1098</v>
      </c>
      <c r="G464" s="50">
        <v>-4.0000000000000001E-3</v>
      </c>
    </row>
    <row r="465" spans="1:7" x14ac:dyDescent="0.25">
      <c r="A465" t="s">
        <v>1099</v>
      </c>
      <c r="B465">
        <v>47.28</v>
      </c>
      <c r="C465">
        <v>47.4</v>
      </c>
      <c r="D465">
        <v>47.79</v>
      </c>
      <c r="E465">
        <v>46.96</v>
      </c>
      <c r="F465" t="s">
        <v>1100</v>
      </c>
      <c r="G465" s="50">
        <v>-5.1000000000000004E-3</v>
      </c>
    </row>
    <row r="466" spans="1:7" x14ac:dyDescent="0.25">
      <c r="A466" t="s">
        <v>1101</v>
      </c>
      <c r="B466">
        <v>47.52</v>
      </c>
      <c r="C466">
        <v>47.48</v>
      </c>
      <c r="D466">
        <v>47.83</v>
      </c>
      <c r="E466">
        <v>47.35</v>
      </c>
      <c r="F466" t="s">
        <v>1102</v>
      </c>
      <c r="G466" s="50">
        <v>2.0000000000000001E-4</v>
      </c>
    </row>
    <row r="467" spans="1:7" x14ac:dyDescent="0.25">
      <c r="A467" t="s">
        <v>1103</v>
      </c>
      <c r="B467">
        <v>47.51</v>
      </c>
      <c r="C467">
        <v>47.55</v>
      </c>
      <c r="D467">
        <v>47.86</v>
      </c>
      <c r="E467">
        <v>47.34</v>
      </c>
      <c r="F467" t="s">
        <v>1104</v>
      </c>
      <c r="G467" s="50">
        <v>1.2999999999999999E-3</v>
      </c>
    </row>
    <row r="468" spans="1:7" x14ac:dyDescent="0.25">
      <c r="A468" t="s">
        <v>1105</v>
      </c>
      <c r="B468">
        <v>47.45</v>
      </c>
      <c r="C468">
        <v>46.78</v>
      </c>
      <c r="D468">
        <v>47.51</v>
      </c>
      <c r="E468">
        <v>46.77</v>
      </c>
      <c r="F468" t="s">
        <v>1106</v>
      </c>
      <c r="G468" s="50">
        <v>1.26E-2</v>
      </c>
    </row>
    <row r="469" spans="1:7" x14ac:dyDescent="0.25">
      <c r="A469" t="s">
        <v>1107</v>
      </c>
      <c r="B469">
        <v>46.86</v>
      </c>
      <c r="C469">
        <v>47.06</v>
      </c>
      <c r="D469">
        <v>47.41</v>
      </c>
      <c r="E469">
        <v>46.8</v>
      </c>
      <c r="F469" t="s">
        <v>686</v>
      </c>
      <c r="G469" s="50">
        <v>-1.0999999999999999E-2</v>
      </c>
    </row>
    <row r="470" spans="1:7" x14ac:dyDescent="0.25">
      <c r="A470" t="s">
        <v>1108</v>
      </c>
      <c r="B470">
        <v>47.38</v>
      </c>
      <c r="C470">
        <v>47.27</v>
      </c>
      <c r="D470">
        <v>47.82</v>
      </c>
      <c r="E470">
        <v>46.99</v>
      </c>
      <c r="F470" t="s">
        <v>1109</v>
      </c>
      <c r="G470" s="50">
        <v>2.0999999999999999E-3</v>
      </c>
    </row>
    <row r="471" spans="1:7" x14ac:dyDescent="0.25">
      <c r="A471" t="s">
        <v>1110</v>
      </c>
      <c r="B471">
        <v>47.28</v>
      </c>
      <c r="C471">
        <v>47.49</v>
      </c>
      <c r="D471">
        <v>47.78</v>
      </c>
      <c r="E471">
        <v>47.01</v>
      </c>
      <c r="F471" t="s">
        <v>1036</v>
      </c>
      <c r="G471" s="50">
        <v>-2.0000000000000001E-4</v>
      </c>
    </row>
    <row r="472" spans="1:7" x14ac:dyDescent="0.25">
      <c r="A472" t="s">
        <v>1111</v>
      </c>
      <c r="B472">
        <v>47.29</v>
      </c>
      <c r="C472">
        <v>47.1</v>
      </c>
      <c r="D472">
        <v>47.84</v>
      </c>
      <c r="E472">
        <v>47.05</v>
      </c>
      <c r="F472" t="s">
        <v>1112</v>
      </c>
      <c r="G472" s="50">
        <v>1.2200000000000001E-2</v>
      </c>
    </row>
    <row r="473" spans="1:7" x14ac:dyDescent="0.25">
      <c r="A473" t="s">
        <v>1113</v>
      </c>
      <c r="B473">
        <v>46.72</v>
      </c>
      <c r="C473">
        <v>45.91</v>
      </c>
      <c r="D473">
        <v>46.87</v>
      </c>
      <c r="E473">
        <v>45.86</v>
      </c>
      <c r="F473" t="s">
        <v>1114</v>
      </c>
      <c r="G473" s="50">
        <v>1.6299999999999999E-2</v>
      </c>
    </row>
    <row r="474" spans="1:7" x14ac:dyDescent="0.25">
      <c r="A474" t="s">
        <v>1115</v>
      </c>
      <c r="B474">
        <v>45.97</v>
      </c>
      <c r="C474">
        <v>45.5</v>
      </c>
      <c r="D474">
        <v>45.99</v>
      </c>
      <c r="E474">
        <v>45.5</v>
      </c>
      <c r="F474" t="s">
        <v>1116</v>
      </c>
      <c r="G474" s="50">
        <v>6.1000000000000004E-3</v>
      </c>
    </row>
    <row r="475" spans="1:7" x14ac:dyDescent="0.25">
      <c r="A475" t="s">
        <v>1117</v>
      </c>
      <c r="B475">
        <v>45.69</v>
      </c>
      <c r="C475">
        <v>45.4</v>
      </c>
      <c r="D475">
        <v>45.71</v>
      </c>
      <c r="E475">
        <v>44.95</v>
      </c>
      <c r="F475" t="s">
        <v>1118</v>
      </c>
      <c r="G475" s="50">
        <v>2.0000000000000001E-4</v>
      </c>
    </row>
    <row r="476" spans="1:7" x14ac:dyDescent="0.25">
      <c r="A476" t="s">
        <v>1119</v>
      </c>
      <c r="B476">
        <v>45.68</v>
      </c>
      <c r="C476">
        <v>45.32</v>
      </c>
      <c r="D476">
        <v>45.71</v>
      </c>
      <c r="E476">
        <v>44.97</v>
      </c>
      <c r="F476" t="s">
        <v>1120</v>
      </c>
      <c r="G476" s="50">
        <v>3.5000000000000001E-3</v>
      </c>
    </row>
    <row r="477" spans="1:7" x14ac:dyDescent="0.25">
      <c r="A477" t="s">
        <v>1121</v>
      </c>
      <c r="B477">
        <v>45.52</v>
      </c>
      <c r="C477">
        <v>45.42</v>
      </c>
      <c r="D477">
        <v>45.55</v>
      </c>
      <c r="E477">
        <v>45.12</v>
      </c>
      <c r="F477" t="s">
        <v>623</v>
      </c>
      <c r="G477" s="50">
        <v>-2.2000000000000001E-3</v>
      </c>
    </row>
    <row r="478" spans="1:7" x14ac:dyDescent="0.25">
      <c r="A478" t="s">
        <v>1122</v>
      </c>
      <c r="B478">
        <v>45.62</v>
      </c>
      <c r="C478">
        <v>45.99</v>
      </c>
      <c r="D478">
        <v>46.08</v>
      </c>
      <c r="E478">
        <v>45.39</v>
      </c>
      <c r="F478" t="s">
        <v>1123</v>
      </c>
      <c r="G478" s="50">
        <v>-3.3E-3</v>
      </c>
    </row>
    <row r="479" spans="1:7" x14ac:dyDescent="0.25">
      <c r="A479" t="s">
        <v>1124</v>
      </c>
      <c r="B479">
        <v>45.77</v>
      </c>
      <c r="C479">
        <v>45.69</v>
      </c>
      <c r="D479">
        <v>45.93</v>
      </c>
      <c r="E479">
        <v>45.36</v>
      </c>
      <c r="F479" t="s">
        <v>437</v>
      </c>
      <c r="G479" s="50">
        <v>-1.6999999999999999E-3</v>
      </c>
    </row>
    <row r="480" spans="1:7" x14ac:dyDescent="0.25">
      <c r="A480" t="s">
        <v>1125</v>
      </c>
      <c r="B480">
        <v>45.85</v>
      </c>
      <c r="C480">
        <v>45.8</v>
      </c>
      <c r="D480">
        <v>45.86</v>
      </c>
      <c r="E480">
        <v>45.27</v>
      </c>
      <c r="F480" t="s">
        <v>1126</v>
      </c>
      <c r="G480" s="50">
        <v>2.0000000000000001E-4</v>
      </c>
    </row>
    <row r="481" spans="1:7" x14ac:dyDescent="0.25">
      <c r="A481" t="s">
        <v>1127</v>
      </c>
      <c r="B481">
        <v>45.84</v>
      </c>
      <c r="C481">
        <v>45.95</v>
      </c>
      <c r="D481">
        <v>46.29</v>
      </c>
      <c r="E481">
        <v>45.79</v>
      </c>
      <c r="F481" t="s">
        <v>1128</v>
      </c>
      <c r="G481" s="50">
        <v>-8.3999999999999995E-3</v>
      </c>
    </row>
    <row r="482" spans="1:7" x14ac:dyDescent="0.25">
      <c r="A482" t="s">
        <v>1129</v>
      </c>
      <c r="B482">
        <v>46.23</v>
      </c>
      <c r="C482">
        <v>45.94</v>
      </c>
      <c r="D482">
        <v>46.39</v>
      </c>
      <c r="E482">
        <v>45.78</v>
      </c>
      <c r="F482" t="s">
        <v>1130</v>
      </c>
      <c r="G482" s="50">
        <v>4.5999999999999999E-3</v>
      </c>
    </row>
    <row r="483" spans="1:7" x14ac:dyDescent="0.25">
      <c r="A483" t="s">
        <v>1131</v>
      </c>
      <c r="B483">
        <v>46.02</v>
      </c>
      <c r="C483">
        <v>47.52</v>
      </c>
      <c r="D483">
        <v>47.63</v>
      </c>
      <c r="E483">
        <v>45.64</v>
      </c>
      <c r="F483" t="s">
        <v>1132</v>
      </c>
      <c r="G483" s="50">
        <v>-2.9499999999999998E-2</v>
      </c>
    </row>
    <row r="484" spans="1:7" x14ac:dyDescent="0.25">
      <c r="A484" t="s">
        <v>1133</v>
      </c>
      <c r="B484">
        <v>47.42</v>
      </c>
      <c r="C484">
        <v>46.65</v>
      </c>
      <c r="D484">
        <v>47.6</v>
      </c>
      <c r="E484">
        <v>46.51</v>
      </c>
      <c r="F484" t="s">
        <v>1134</v>
      </c>
      <c r="G484" s="50">
        <v>1.6500000000000001E-2</v>
      </c>
    </row>
    <row r="485" spans="1:7" x14ac:dyDescent="0.25">
      <c r="A485" t="s">
        <v>1135</v>
      </c>
      <c r="B485">
        <v>46.65</v>
      </c>
      <c r="C485">
        <v>46.72</v>
      </c>
      <c r="D485">
        <v>46.77</v>
      </c>
      <c r="E485">
        <v>46.28</v>
      </c>
      <c r="F485" t="s">
        <v>1136</v>
      </c>
      <c r="G485" s="50">
        <v>3.2000000000000002E-3</v>
      </c>
    </row>
    <row r="486" spans="1:7" x14ac:dyDescent="0.25">
      <c r="A486" t="s">
        <v>1137</v>
      </c>
      <c r="B486">
        <v>46.5</v>
      </c>
      <c r="C486">
        <v>46.14</v>
      </c>
      <c r="D486">
        <v>46.57</v>
      </c>
      <c r="E486">
        <v>46.01</v>
      </c>
      <c r="F486" t="s">
        <v>1138</v>
      </c>
      <c r="G486" s="50">
        <v>8.2000000000000007E-3</v>
      </c>
    </row>
    <row r="487" spans="1:7" x14ac:dyDescent="0.25">
      <c r="A487" t="s">
        <v>1139</v>
      </c>
      <c r="B487">
        <v>46.12</v>
      </c>
      <c r="C487">
        <v>46.1</v>
      </c>
      <c r="D487">
        <v>46.46</v>
      </c>
      <c r="E487">
        <v>46</v>
      </c>
      <c r="F487" t="s">
        <v>492</v>
      </c>
      <c r="G487" s="50">
        <v>8.9999999999999998E-4</v>
      </c>
    </row>
    <row r="488" spans="1:7" x14ac:dyDescent="0.25">
      <c r="A488" t="s">
        <v>1140</v>
      </c>
      <c r="B488">
        <v>46.08</v>
      </c>
      <c r="C488">
        <v>45.9</v>
      </c>
      <c r="D488">
        <v>46.33</v>
      </c>
      <c r="E488">
        <v>45.85</v>
      </c>
      <c r="F488" t="s">
        <v>1141</v>
      </c>
      <c r="G488" s="50">
        <v>-4.3E-3</v>
      </c>
    </row>
    <row r="489" spans="1:7" x14ac:dyDescent="0.25">
      <c r="A489" t="s">
        <v>1142</v>
      </c>
      <c r="B489">
        <v>46.28</v>
      </c>
      <c r="C489">
        <v>46.15</v>
      </c>
      <c r="D489">
        <v>46.88</v>
      </c>
      <c r="E489">
        <v>45.98</v>
      </c>
      <c r="F489" t="s">
        <v>1143</v>
      </c>
      <c r="G489" s="50">
        <v>-3.0000000000000001E-3</v>
      </c>
    </row>
    <row r="490" spans="1:7" x14ac:dyDescent="0.25">
      <c r="A490" t="s">
        <v>1144</v>
      </c>
      <c r="B490">
        <v>46.42</v>
      </c>
      <c r="C490">
        <v>46.63</v>
      </c>
      <c r="D490">
        <v>46.79</v>
      </c>
      <c r="E490">
        <v>46.38</v>
      </c>
      <c r="F490" t="s">
        <v>1145</v>
      </c>
      <c r="G490" s="50">
        <v>-3.8999999999999998E-3</v>
      </c>
    </row>
    <row r="491" spans="1:7" x14ac:dyDescent="0.25">
      <c r="A491" t="s">
        <v>1146</v>
      </c>
      <c r="B491">
        <v>46.6</v>
      </c>
      <c r="C491">
        <v>47.15</v>
      </c>
      <c r="D491">
        <v>47.19</v>
      </c>
      <c r="E491">
        <v>46.51</v>
      </c>
      <c r="F491" t="s">
        <v>1062</v>
      </c>
      <c r="G491" s="50">
        <v>-1.7500000000000002E-2</v>
      </c>
    </row>
    <row r="492" spans="1:7" x14ac:dyDescent="0.25">
      <c r="A492" t="s">
        <v>1147</v>
      </c>
      <c r="B492">
        <v>47.43</v>
      </c>
      <c r="C492">
        <v>47.1</v>
      </c>
      <c r="D492">
        <v>47.83</v>
      </c>
      <c r="E492">
        <v>47.03</v>
      </c>
      <c r="F492" t="s">
        <v>1148</v>
      </c>
      <c r="G492" s="50">
        <v>1.04E-2</v>
      </c>
    </row>
    <row r="493" spans="1:7" x14ac:dyDescent="0.25">
      <c r="A493" t="s">
        <v>1149</v>
      </c>
      <c r="B493">
        <v>46.94</v>
      </c>
      <c r="C493">
        <v>47.12</v>
      </c>
      <c r="D493">
        <v>47.15</v>
      </c>
      <c r="E493">
        <v>46.61</v>
      </c>
      <c r="F493" t="s">
        <v>1150</v>
      </c>
      <c r="G493" s="50">
        <v>-4.0000000000000001E-3</v>
      </c>
    </row>
    <row r="494" spans="1:7" x14ac:dyDescent="0.25">
      <c r="A494" t="s">
        <v>1151</v>
      </c>
      <c r="B494">
        <v>47.13</v>
      </c>
      <c r="C494">
        <v>48</v>
      </c>
      <c r="D494">
        <v>48.07</v>
      </c>
      <c r="E494">
        <v>47.01</v>
      </c>
      <c r="F494" t="s">
        <v>1152</v>
      </c>
      <c r="G494" s="50">
        <v>-2.1600000000000001E-2</v>
      </c>
    </row>
    <row r="495" spans="1:7" x14ac:dyDescent="0.25">
      <c r="A495" t="s">
        <v>1153</v>
      </c>
      <c r="B495">
        <v>48.17</v>
      </c>
      <c r="C495">
        <v>48.26</v>
      </c>
      <c r="D495">
        <v>48.56</v>
      </c>
      <c r="E495">
        <v>48.1</v>
      </c>
      <c r="F495" t="s">
        <v>947</v>
      </c>
      <c r="G495" s="50">
        <v>-3.5000000000000001E-3</v>
      </c>
    </row>
    <row r="496" spans="1:7" x14ac:dyDescent="0.25">
      <c r="A496" t="s">
        <v>1154</v>
      </c>
      <c r="B496">
        <v>48.34</v>
      </c>
      <c r="C496">
        <v>50.08</v>
      </c>
      <c r="D496">
        <v>50.11</v>
      </c>
      <c r="E496">
        <v>48.17</v>
      </c>
      <c r="F496" t="s">
        <v>1155</v>
      </c>
      <c r="G496" s="50">
        <v>-2.6800000000000001E-2</v>
      </c>
    </row>
    <row r="497" spans="1:7" x14ac:dyDescent="0.25">
      <c r="A497" t="s">
        <v>1156</v>
      </c>
      <c r="B497">
        <v>49.67</v>
      </c>
      <c r="C497">
        <v>49.19</v>
      </c>
      <c r="D497">
        <v>49.72</v>
      </c>
      <c r="E497">
        <v>48.73</v>
      </c>
      <c r="F497" t="s">
        <v>1157</v>
      </c>
      <c r="G497" s="50">
        <v>1.47E-2</v>
      </c>
    </row>
    <row r="498" spans="1:7" x14ac:dyDescent="0.25">
      <c r="A498" t="s">
        <v>1158</v>
      </c>
      <c r="B498">
        <v>48.95</v>
      </c>
      <c r="C498">
        <v>48.98</v>
      </c>
      <c r="D498">
        <v>49.18</v>
      </c>
      <c r="E498">
        <v>48.35</v>
      </c>
      <c r="F498" t="s">
        <v>760</v>
      </c>
      <c r="G498" s="50">
        <v>5.4999999999999997E-3</v>
      </c>
    </row>
    <row r="499" spans="1:7" x14ac:dyDescent="0.25">
      <c r="A499" t="s">
        <v>1159</v>
      </c>
      <c r="B499">
        <v>48.68</v>
      </c>
      <c r="C499">
        <v>48.31</v>
      </c>
      <c r="D499">
        <v>48.82</v>
      </c>
      <c r="E499">
        <v>48.23</v>
      </c>
      <c r="F499" t="s">
        <v>1160</v>
      </c>
      <c r="G499" s="50">
        <v>1.29E-2</v>
      </c>
    </row>
    <row r="500" spans="1:7" x14ac:dyDescent="0.25">
      <c r="A500" t="s">
        <v>1161</v>
      </c>
      <c r="B500">
        <v>48.06</v>
      </c>
      <c r="C500">
        <v>48</v>
      </c>
      <c r="D500">
        <v>48.1</v>
      </c>
      <c r="E500">
        <v>47.7</v>
      </c>
      <c r="F500" t="s">
        <v>1162</v>
      </c>
      <c r="G500" s="50">
        <v>5.5999999999999999E-3</v>
      </c>
    </row>
    <row r="501" spans="1:7" x14ac:dyDescent="0.25">
      <c r="A501" t="s">
        <v>1163</v>
      </c>
      <c r="B501">
        <v>47.79</v>
      </c>
      <c r="C501">
        <v>48</v>
      </c>
      <c r="D501">
        <v>48.09</v>
      </c>
      <c r="E501">
        <v>47.65</v>
      </c>
      <c r="F501" t="s">
        <v>1164</v>
      </c>
      <c r="G501" s="50">
        <v>-4.4000000000000003E-3</v>
      </c>
    </row>
    <row r="502" spans="1:7" x14ac:dyDescent="0.25">
      <c r="A502" t="s">
        <v>1165</v>
      </c>
      <c r="B502">
        <v>48</v>
      </c>
      <c r="C502">
        <v>47.44</v>
      </c>
      <c r="D502">
        <v>48.14</v>
      </c>
      <c r="E502">
        <v>47.25</v>
      </c>
      <c r="F502" t="s">
        <v>1166</v>
      </c>
      <c r="G502" s="50">
        <v>1.52E-2</v>
      </c>
    </row>
    <row r="503" spans="1:7" x14ac:dyDescent="0.25">
      <c r="A503" t="s">
        <v>1167</v>
      </c>
      <c r="B503">
        <v>47.28</v>
      </c>
      <c r="C503">
        <v>47.21</v>
      </c>
      <c r="D503">
        <v>47.46</v>
      </c>
      <c r="E503">
        <v>47.01</v>
      </c>
      <c r="F503" t="s">
        <v>1168</v>
      </c>
      <c r="G503" s="50">
        <v>3.5999999999999999E-3</v>
      </c>
    </row>
    <row r="504" spans="1:7" x14ac:dyDescent="0.25">
      <c r="A504" t="s">
        <v>1169</v>
      </c>
      <c r="B504">
        <v>47.11</v>
      </c>
      <c r="C504">
        <v>47.22</v>
      </c>
      <c r="D504">
        <v>47.44</v>
      </c>
      <c r="E504">
        <v>46.97</v>
      </c>
      <c r="F504" t="s">
        <v>815</v>
      </c>
      <c r="G504" s="50">
        <v>-2.0000000000000001E-4</v>
      </c>
    </row>
    <row r="505" spans="1:7" x14ac:dyDescent="0.25">
      <c r="A505" t="s">
        <v>1170</v>
      </c>
      <c r="B505">
        <v>47.12</v>
      </c>
      <c r="C505">
        <v>47.1</v>
      </c>
      <c r="D505">
        <v>47.4</v>
      </c>
      <c r="E505">
        <v>46.84</v>
      </c>
      <c r="F505" t="s">
        <v>409</v>
      </c>
      <c r="G505" s="50">
        <v>7.1000000000000004E-3</v>
      </c>
    </row>
    <row r="506" spans="1:7" x14ac:dyDescent="0.25">
      <c r="A506" t="s">
        <v>1171</v>
      </c>
      <c r="B506">
        <v>46.79</v>
      </c>
      <c r="C506">
        <v>47.03</v>
      </c>
      <c r="D506">
        <v>47.12</v>
      </c>
      <c r="E506">
        <v>46.6</v>
      </c>
      <c r="F506" t="s">
        <v>1172</v>
      </c>
      <c r="G506" s="50">
        <v>-1.1000000000000001E-3</v>
      </c>
    </row>
    <row r="507" spans="1:7" x14ac:dyDescent="0.25">
      <c r="A507" t="s">
        <v>1173</v>
      </c>
      <c r="B507">
        <v>46.84</v>
      </c>
      <c r="C507">
        <v>46.7</v>
      </c>
      <c r="D507">
        <v>47.57</v>
      </c>
      <c r="E507">
        <v>46.68</v>
      </c>
      <c r="F507" t="s">
        <v>1174</v>
      </c>
      <c r="G507" s="50">
        <v>-3.0000000000000001E-3</v>
      </c>
    </row>
    <row r="508" spans="1:7" x14ac:dyDescent="0.25">
      <c r="A508" t="s">
        <v>1175</v>
      </c>
      <c r="B508">
        <v>46.98</v>
      </c>
      <c r="C508">
        <v>47.61</v>
      </c>
      <c r="D508">
        <v>47.69</v>
      </c>
      <c r="E508">
        <v>46.97</v>
      </c>
      <c r="F508" t="s">
        <v>326</v>
      </c>
      <c r="G508" s="50">
        <v>-1.67E-2</v>
      </c>
    </row>
    <row r="509" spans="1:7" x14ac:dyDescent="0.25">
      <c r="A509" t="s">
        <v>1176</v>
      </c>
      <c r="B509">
        <v>47.78</v>
      </c>
      <c r="C509">
        <v>47.99</v>
      </c>
      <c r="D509">
        <v>48.31</v>
      </c>
      <c r="E509">
        <v>47.58</v>
      </c>
      <c r="F509" t="s">
        <v>1177</v>
      </c>
      <c r="G509" s="50">
        <v>-1.6999999999999999E-3</v>
      </c>
    </row>
    <row r="510" spans="1:7" x14ac:dyDescent="0.25">
      <c r="A510" t="s">
        <v>1178</v>
      </c>
      <c r="B510">
        <v>47.86</v>
      </c>
      <c r="C510">
        <v>47.64</v>
      </c>
      <c r="D510">
        <v>48.28</v>
      </c>
      <c r="E510">
        <v>47.61</v>
      </c>
      <c r="F510" t="s">
        <v>1179</v>
      </c>
      <c r="G510" s="50">
        <v>-5.0000000000000001E-3</v>
      </c>
    </row>
    <row r="511" spans="1:7" x14ac:dyDescent="0.25">
      <c r="A511" t="s">
        <v>1180</v>
      </c>
      <c r="B511">
        <v>48.1</v>
      </c>
      <c r="C511">
        <v>48.78</v>
      </c>
      <c r="D511">
        <v>48.93</v>
      </c>
      <c r="E511">
        <v>47.85</v>
      </c>
      <c r="F511" t="s">
        <v>1181</v>
      </c>
      <c r="G511" s="50">
        <v>-5.1999999999999998E-3</v>
      </c>
    </row>
    <row r="512" spans="1:7" x14ac:dyDescent="0.25">
      <c r="A512" t="s">
        <v>1182</v>
      </c>
      <c r="B512">
        <v>48.35</v>
      </c>
      <c r="C512">
        <v>48.05</v>
      </c>
      <c r="D512">
        <v>48.38</v>
      </c>
      <c r="E512">
        <v>47.92</v>
      </c>
      <c r="F512" t="s">
        <v>1183</v>
      </c>
      <c r="G512" s="50">
        <v>5.9999999999999995E-4</v>
      </c>
    </row>
    <row r="513" spans="1:7" x14ac:dyDescent="0.25">
      <c r="A513" t="s">
        <v>1184</v>
      </c>
      <c r="B513">
        <v>48.32</v>
      </c>
      <c r="C513">
        <v>48.14</v>
      </c>
      <c r="D513">
        <v>48.46</v>
      </c>
      <c r="E513">
        <v>48.06</v>
      </c>
      <c r="F513" t="s">
        <v>508</v>
      </c>
      <c r="G513" s="50">
        <v>3.7000000000000002E-3</v>
      </c>
    </row>
    <row r="514" spans="1:7" x14ac:dyDescent="0.25">
      <c r="A514" t="s">
        <v>1185</v>
      </c>
      <c r="B514">
        <v>48.14</v>
      </c>
      <c r="C514">
        <v>48.49</v>
      </c>
      <c r="D514">
        <v>48.59</v>
      </c>
      <c r="E514">
        <v>48</v>
      </c>
      <c r="F514" t="s">
        <v>1186</v>
      </c>
      <c r="G514" s="50">
        <v>-3.7000000000000002E-3</v>
      </c>
    </row>
    <row r="515" spans="1:7" x14ac:dyDescent="0.25">
      <c r="A515" t="s">
        <v>1187</v>
      </c>
      <c r="B515">
        <v>48.32</v>
      </c>
      <c r="C515">
        <v>48.39</v>
      </c>
      <c r="D515">
        <v>48.43</v>
      </c>
      <c r="E515">
        <v>48.03</v>
      </c>
      <c r="F515" t="s">
        <v>514</v>
      </c>
      <c r="G515" s="50">
        <v>4.4000000000000003E-3</v>
      </c>
    </row>
    <row r="516" spans="1:7" x14ac:dyDescent="0.25">
      <c r="A516" t="s">
        <v>1188</v>
      </c>
      <c r="B516">
        <v>48.11</v>
      </c>
      <c r="C516">
        <v>48.41</v>
      </c>
      <c r="D516">
        <v>48.41</v>
      </c>
      <c r="E516">
        <v>47.88</v>
      </c>
      <c r="F516" t="s">
        <v>496</v>
      </c>
      <c r="G516" s="50">
        <v>6.7000000000000002E-3</v>
      </c>
    </row>
    <row r="517" spans="1:7" x14ac:dyDescent="0.25">
      <c r="A517" t="s">
        <v>1189</v>
      </c>
      <c r="B517">
        <v>47.79</v>
      </c>
      <c r="C517">
        <v>48</v>
      </c>
      <c r="D517">
        <v>48.28</v>
      </c>
      <c r="E517">
        <v>47.71</v>
      </c>
      <c r="F517" t="s">
        <v>1190</v>
      </c>
      <c r="G517" s="50">
        <v>-2.7000000000000001E-3</v>
      </c>
    </row>
    <row r="518" spans="1:7" x14ac:dyDescent="0.25">
      <c r="A518" t="s">
        <v>1191</v>
      </c>
      <c r="B518">
        <v>47.92</v>
      </c>
      <c r="C518">
        <v>48.47</v>
      </c>
      <c r="D518">
        <v>48.51</v>
      </c>
      <c r="E518">
        <v>47.84</v>
      </c>
      <c r="F518" t="s">
        <v>1192</v>
      </c>
      <c r="G518" s="50">
        <v>-6.6E-3</v>
      </c>
    </row>
    <row r="519" spans="1:7" x14ac:dyDescent="0.25">
      <c r="A519" t="s">
        <v>1193</v>
      </c>
      <c r="B519">
        <v>48.24</v>
      </c>
      <c r="C519">
        <v>49.72</v>
      </c>
      <c r="D519">
        <v>49.79</v>
      </c>
      <c r="E519">
        <v>48.2</v>
      </c>
      <c r="F519" t="s">
        <v>1194</v>
      </c>
      <c r="G519" s="50">
        <v>-5.1999999999999998E-3</v>
      </c>
    </row>
    <row r="520" spans="1:7" x14ac:dyDescent="0.25">
      <c r="A520" t="s">
        <v>1195</v>
      </c>
      <c r="B520">
        <v>48.49</v>
      </c>
      <c r="C520">
        <v>49.21</v>
      </c>
      <c r="D520">
        <v>49.23</v>
      </c>
      <c r="E520">
        <v>48.44</v>
      </c>
      <c r="F520" t="s">
        <v>720</v>
      </c>
      <c r="G520" s="50">
        <v>-2.1000000000000001E-2</v>
      </c>
    </row>
    <row r="521" spans="1:7" x14ac:dyDescent="0.25">
      <c r="A521" t="s">
        <v>1196</v>
      </c>
      <c r="B521">
        <v>49.53</v>
      </c>
      <c r="C521">
        <v>49.32</v>
      </c>
      <c r="D521">
        <v>49.59</v>
      </c>
      <c r="E521">
        <v>49</v>
      </c>
      <c r="F521" t="s">
        <v>1197</v>
      </c>
      <c r="G521" s="50">
        <v>6.4999999999999997E-3</v>
      </c>
    </row>
    <row r="522" spans="1:7" x14ac:dyDescent="0.25">
      <c r="A522" t="s">
        <v>1198</v>
      </c>
      <c r="B522">
        <v>49.21</v>
      </c>
      <c r="C522">
        <v>49.73</v>
      </c>
      <c r="D522">
        <v>49.77</v>
      </c>
      <c r="E522">
        <v>48.81</v>
      </c>
      <c r="F522" t="s">
        <v>1199</v>
      </c>
      <c r="G522" s="50">
        <v>-1.6E-2</v>
      </c>
    </row>
    <row r="523" spans="1:7" x14ac:dyDescent="0.25">
      <c r="A523" t="s">
        <v>1200</v>
      </c>
      <c r="B523">
        <v>50.01</v>
      </c>
      <c r="C523">
        <v>48.84</v>
      </c>
      <c r="D523">
        <v>50.2</v>
      </c>
      <c r="E523">
        <v>48.51</v>
      </c>
      <c r="F523" t="s">
        <v>1201</v>
      </c>
      <c r="G523" s="50">
        <v>3.6700000000000003E-2</v>
      </c>
    </row>
    <row r="524" spans="1:7" x14ac:dyDescent="0.25">
      <c r="A524" t="s">
        <v>1202</v>
      </c>
      <c r="B524">
        <v>48.24</v>
      </c>
      <c r="C524">
        <v>48.19</v>
      </c>
      <c r="D524">
        <v>48.66</v>
      </c>
      <c r="E524">
        <v>48.16</v>
      </c>
      <c r="F524" t="s">
        <v>1203</v>
      </c>
      <c r="G524" s="50">
        <v>-6.4000000000000003E-3</v>
      </c>
    </row>
    <row r="525" spans="1:7" x14ac:dyDescent="0.25">
      <c r="A525" t="s">
        <v>1204</v>
      </c>
      <c r="B525">
        <v>48.55</v>
      </c>
      <c r="C525">
        <v>47.96</v>
      </c>
      <c r="D525">
        <v>48.67</v>
      </c>
      <c r="E525">
        <v>47.89</v>
      </c>
      <c r="F525" t="s">
        <v>1205</v>
      </c>
      <c r="G525" s="50">
        <v>9.1000000000000004E-3</v>
      </c>
    </row>
    <row r="526" spans="1:7" x14ac:dyDescent="0.25">
      <c r="A526" t="s">
        <v>1206</v>
      </c>
      <c r="B526">
        <v>48.11</v>
      </c>
      <c r="C526">
        <v>49.09</v>
      </c>
      <c r="D526">
        <v>49.55</v>
      </c>
      <c r="E526">
        <v>48.04</v>
      </c>
      <c r="F526" t="s">
        <v>1207</v>
      </c>
      <c r="G526" s="50">
        <v>-1.29E-2</v>
      </c>
    </row>
    <row r="527" spans="1:7" x14ac:dyDescent="0.25">
      <c r="A527" t="s">
        <v>1208</v>
      </c>
      <c r="B527">
        <v>48.74</v>
      </c>
      <c r="C527">
        <v>48.8</v>
      </c>
      <c r="D527">
        <v>49.22</v>
      </c>
      <c r="E527">
        <v>48.66</v>
      </c>
      <c r="F527" t="s">
        <v>1209</v>
      </c>
      <c r="G527" s="50">
        <v>-1.26E-2</v>
      </c>
    </row>
    <row r="528" spans="1:7" x14ac:dyDescent="0.25">
      <c r="A528" t="s">
        <v>1210</v>
      </c>
      <c r="B528">
        <v>49.36</v>
      </c>
      <c r="C528">
        <v>49.96</v>
      </c>
      <c r="D528">
        <v>50.09</v>
      </c>
      <c r="E528">
        <v>49.15</v>
      </c>
      <c r="F528" t="s">
        <v>1021</v>
      </c>
      <c r="G528" s="50">
        <v>-1.3599999999999999E-2</v>
      </c>
    </row>
    <row r="529" spans="1:7" x14ac:dyDescent="0.25">
      <c r="A529" t="s">
        <v>1211</v>
      </c>
      <c r="B529">
        <v>50.04</v>
      </c>
      <c r="C529">
        <v>49.96</v>
      </c>
      <c r="D529">
        <v>50.2</v>
      </c>
      <c r="E529">
        <v>49.87</v>
      </c>
      <c r="F529" t="s">
        <v>1212</v>
      </c>
      <c r="G529" s="50">
        <v>2.5999999999999999E-3</v>
      </c>
    </row>
    <row r="530" spans="1:7" x14ac:dyDescent="0.25">
      <c r="A530" t="s">
        <v>1213</v>
      </c>
      <c r="B530">
        <v>49.91</v>
      </c>
      <c r="C530">
        <v>49.89</v>
      </c>
      <c r="D530">
        <v>50.19</v>
      </c>
      <c r="E530">
        <v>49.81</v>
      </c>
      <c r="F530" t="s">
        <v>1214</v>
      </c>
      <c r="G530" s="50">
        <v>2.8E-3</v>
      </c>
    </row>
    <row r="531" spans="1:7" x14ac:dyDescent="0.25">
      <c r="A531" t="s">
        <v>1215</v>
      </c>
      <c r="B531">
        <v>49.77</v>
      </c>
      <c r="C531">
        <v>49.77</v>
      </c>
      <c r="D531">
        <v>49.9</v>
      </c>
      <c r="E531">
        <v>49.41</v>
      </c>
      <c r="F531" t="s">
        <v>847</v>
      </c>
      <c r="G531" s="50">
        <v>4.4000000000000003E-3</v>
      </c>
    </row>
    <row r="532" spans="1:7" x14ac:dyDescent="0.25">
      <c r="A532" t="s">
        <v>1216</v>
      </c>
      <c r="B532">
        <v>49.55</v>
      </c>
      <c r="C532">
        <v>49.55</v>
      </c>
      <c r="D532">
        <v>49.81</v>
      </c>
      <c r="E532">
        <v>49.48</v>
      </c>
      <c r="F532" t="s">
        <v>1217</v>
      </c>
      <c r="G532" s="50">
        <v>-2.5999999999999999E-3</v>
      </c>
    </row>
    <row r="533" spans="1:7" x14ac:dyDescent="0.25">
      <c r="A533" t="s">
        <v>1218</v>
      </c>
      <c r="B533">
        <v>49.68</v>
      </c>
      <c r="C533">
        <v>49.56</v>
      </c>
      <c r="D533">
        <v>49.76</v>
      </c>
      <c r="E533">
        <v>49.29</v>
      </c>
      <c r="F533" t="s">
        <v>1219</v>
      </c>
      <c r="G533" s="50">
        <v>-2E-3</v>
      </c>
    </row>
    <row r="534" spans="1:7" x14ac:dyDescent="0.25">
      <c r="A534" t="s">
        <v>1220</v>
      </c>
      <c r="B534">
        <v>49.78</v>
      </c>
      <c r="C534">
        <v>50.05</v>
      </c>
      <c r="D534">
        <v>50.1</v>
      </c>
      <c r="E534">
        <v>49.72</v>
      </c>
      <c r="F534" t="s">
        <v>1221</v>
      </c>
      <c r="G534" s="50">
        <v>-2E-3</v>
      </c>
    </row>
    <row r="535" spans="1:7" x14ac:dyDescent="0.25">
      <c r="A535" t="s">
        <v>1222</v>
      </c>
      <c r="B535">
        <v>49.88</v>
      </c>
      <c r="C535">
        <v>49.71</v>
      </c>
      <c r="D535">
        <v>50.19</v>
      </c>
      <c r="E535">
        <v>49.56</v>
      </c>
      <c r="F535" t="s">
        <v>1223</v>
      </c>
      <c r="G535" s="50">
        <v>6.7000000000000002E-3</v>
      </c>
    </row>
    <row r="536" spans="1:7" x14ac:dyDescent="0.25">
      <c r="A536" t="s">
        <v>1224</v>
      </c>
      <c r="B536">
        <v>49.55</v>
      </c>
      <c r="C536">
        <v>49.04</v>
      </c>
      <c r="D536">
        <v>49.58</v>
      </c>
      <c r="E536">
        <v>48.94</v>
      </c>
      <c r="F536" t="s">
        <v>1225</v>
      </c>
      <c r="G536" s="50">
        <v>8.3000000000000001E-3</v>
      </c>
    </row>
    <row r="537" spans="1:7" x14ac:dyDescent="0.25">
      <c r="A537" t="s">
        <v>1226</v>
      </c>
      <c r="B537">
        <v>49.14</v>
      </c>
      <c r="C537">
        <v>49.12</v>
      </c>
      <c r="D537">
        <v>49.6</v>
      </c>
      <c r="E537">
        <v>48.97</v>
      </c>
      <c r="F537" t="s">
        <v>1227</v>
      </c>
      <c r="G537" s="50">
        <v>-2.5999999999999999E-3</v>
      </c>
    </row>
    <row r="538" spans="1:7" x14ac:dyDescent="0.25">
      <c r="A538" t="s">
        <v>1228</v>
      </c>
      <c r="B538">
        <v>49.27</v>
      </c>
      <c r="C538">
        <v>49.22</v>
      </c>
      <c r="D538">
        <v>49.66</v>
      </c>
      <c r="E538">
        <v>48.98</v>
      </c>
      <c r="F538" t="s">
        <v>1229</v>
      </c>
      <c r="G538" s="50">
        <v>6.8999999999999999E-3</v>
      </c>
    </row>
    <row r="539" spans="1:7" x14ac:dyDescent="0.25">
      <c r="A539" t="s">
        <v>1230</v>
      </c>
      <c r="B539">
        <v>48.93</v>
      </c>
      <c r="C539">
        <v>49.79</v>
      </c>
      <c r="D539">
        <v>49.96</v>
      </c>
      <c r="E539">
        <v>48.9</v>
      </c>
      <c r="F539" t="s">
        <v>1231</v>
      </c>
      <c r="G539" s="50">
        <v>-1.7299999999999999E-2</v>
      </c>
    </row>
    <row r="540" spans="1:7" x14ac:dyDescent="0.25">
      <c r="A540" t="s">
        <v>1232</v>
      </c>
      <c r="B540">
        <v>49.79</v>
      </c>
      <c r="C540">
        <v>50.27</v>
      </c>
      <c r="D540">
        <v>50.35</v>
      </c>
      <c r="E540">
        <v>49.6</v>
      </c>
      <c r="F540" t="s">
        <v>1233</v>
      </c>
      <c r="G540" s="50">
        <v>-6.4000000000000003E-3</v>
      </c>
    </row>
    <row r="541" spans="1:7" x14ac:dyDescent="0.25">
      <c r="A541" t="s">
        <v>1234</v>
      </c>
      <c r="B541">
        <v>50.11</v>
      </c>
      <c r="C541">
        <v>50.03</v>
      </c>
      <c r="D541">
        <v>50.15</v>
      </c>
      <c r="E541">
        <v>49.83</v>
      </c>
      <c r="F541" t="s">
        <v>430</v>
      </c>
      <c r="G541" s="50">
        <v>8.0000000000000004E-4</v>
      </c>
    </row>
    <row r="542" spans="1:7" x14ac:dyDescent="0.25">
      <c r="A542" t="s">
        <v>1235</v>
      </c>
      <c r="B542">
        <v>50.07</v>
      </c>
      <c r="C542">
        <v>50.54</v>
      </c>
      <c r="D542">
        <v>50.55</v>
      </c>
      <c r="E542">
        <v>49.88</v>
      </c>
      <c r="F542" t="s">
        <v>1236</v>
      </c>
      <c r="G542" s="50">
        <v>-3.0000000000000001E-3</v>
      </c>
    </row>
    <row r="543" spans="1:7" x14ac:dyDescent="0.25">
      <c r="A543" t="s">
        <v>1237</v>
      </c>
      <c r="B543">
        <v>50.22</v>
      </c>
      <c r="C543">
        <v>49.72</v>
      </c>
      <c r="D543">
        <v>50.3</v>
      </c>
      <c r="E543">
        <v>49.58</v>
      </c>
      <c r="F543" t="s">
        <v>1238</v>
      </c>
      <c r="G543" s="50">
        <v>1.4500000000000001E-2</v>
      </c>
    </row>
    <row r="544" spans="1:7" x14ac:dyDescent="0.25">
      <c r="A544" t="s">
        <v>1239</v>
      </c>
      <c r="B544">
        <v>49.5</v>
      </c>
      <c r="C544">
        <v>48.87</v>
      </c>
      <c r="D544">
        <v>49.78</v>
      </c>
      <c r="E544">
        <v>48.85</v>
      </c>
      <c r="F544" t="s">
        <v>1095</v>
      </c>
      <c r="G544" s="50">
        <v>1.23E-2</v>
      </c>
    </row>
    <row r="545" spans="1:7" x14ac:dyDescent="0.25">
      <c r="A545" t="s">
        <v>1240</v>
      </c>
      <c r="B545">
        <v>48.9</v>
      </c>
      <c r="C545">
        <v>49.44</v>
      </c>
      <c r="D545">
        <v>49.48</v>
      </c>
      <c r="E545">
        <v>48.83</v>
      </c>
      <c r="F545" t="s">
        <v>1052</v>
      </c>
      <c r="G545" s="50">
        <v>-5.4999999999999997E-3</v>
      </c>
    </row>
    <row r="546" spans="1:7" x14ac:dyDescent="0.25">
      <c r="A546" t="s">
        <v>1241</v>
      </c>
      <c r="B546">
        <v>49.17</v>
      </c>
      <c r="C546">
        <v>48.98</v>
      </c>
      <c r="D546">
        <v>49.4</v>
      </c>
      <c r="E546">
        <v>48.97</v>
      </c>
      <c r="F546" t="s">
        <v>585</v>
      </c>
      <c r="G546" s="50">
        <v>4.4999999999999997E-3</v>
      </c>
    </row>
    <row r="547" spans="1:7" x14ac:dyDescent="0.25">
      <c r="A547" t="s">
        <v>1242</v>
      </c>
      <c r="B547">
        <v>48.95</v>
      </c>
      <c r="C547">
        <v>49.04</v>
      </c>
      <c r="D547">
        <v>49.07</v>
      </c>
      <c r="E547">
        <v>48.57</v>
      </c>
      <c r="F547" t="s">
        <v>489</v>
      </c>
      <c r="G547" s="50">
        <v>-3.7000000000000002E-3</v>
      </c>
    </row>
    <row r="548" spans="1:7" x14ac:dyDescent="0.25">
      <c r="A548" t="s">
        <v>1243</v>
      </c>
      <c r="B548">
        <v>49.13</v>
      </c>
      <c r="C548">
        <v>48.37</v>
      </c>
      <c r="D548">
        <v>49.47</v>
      </c>
      <c r="E548">
        <v>48.22</v>
      </c>
      <c r="F548" t="s">
        <v>1244</v>
      </c>
      <c r="G548" s="50">
        <v>1.5100000000000001E-2</v>
      </c>
    </row>
    <row r="549" spans="1:7" x14ac:dyDescent="0.25">
      <c r="A549" t="s">
        <v>1245</v>
      </c>
      <c r="B549">
        <v>48.4</v>
      </c>
      <c r="C549">
        <v>48.11</v>
      </c>
      <c r="D549">
        <v>48.42</v>
      </c>
      <c r="E549">
        <v>47.66</v>
      </c>
      <c r="F549" t="s">
        <v>1246</v>
      </c>
      <c r="G549" s="50">
        <v>5.9999999999999995E-4</v>
      </c>
    </row>
    <row r="550" spans="1:7" x14ac:dyDescent="0.25">
      <c r="A550" t="s">
        <v>1247</v>
      </c>
      <c r="B550">
        <v>48.37</v>
      </c>
      <c r="C550">
        <v>48.19</v>
      </c>
      <c r="D550">
        <v>48.48</v>
      </c>
      <c r="E550">
        <v>48.13</v>
      </c>
      <c r="F550" t="s">
        <v>1248</v>
      </c>
      <c r="G550" s="50">
        <v>6.4999999999999997E-3</v>
      </c>
    </row>
    <row r="551" spans="1:7" x14ac:dyDescent="0.25">
      <c r="A551" t="s">
        <v>1249</v>
      </c>
      <c r="B551">
        <v>48.06</v>
      </c>
      <c r="C551">
        <v>48.2</v>
      </c>
      <c r="D551">
        <v>48.48</v>
      </c>
      <c r="E551">
        <v>48.01</v>
      </c>
      <c r="F551" t="s">
        <v>1250</v>
      </c>
      <c r="G551" s="50">
        <v>-5.1999999999999998E-3</v>
      </c>
    </row>
    <row r="552" spans="1:7" x14ac:dyDescent="0.25">
      <c r="A552" t="s">
        <v>1251</v>
      </c>
      <c r="B552">
        <v>48.31</v>
      </c>
      <c r="C552">
        <v>48.15</v>
      </c>
      <c r="D552">
        <v>48.45</v>
      </c>
      <c r="E552">
        <v>48.02</v>
      </c>
      <c r="F552" t="s">
        <v>1252</v>
      </c>
      <c r="G552" s="50">
        <v>-1.9E-3</v>
      </c>
    </row>
    <row r="553" spans="1:7" x14ac:dyDescent="0.25">
      <c r="A553" t="s">
        <v>1253</v>
      </c>
      <c r="B553">
        <v>48.4</v>
      </c>
      <c r="C553">
        <v>48.85</v>
      </c>
      <c r="D553">
        <v>48.9</v>
      </c>
      <c r="E553">
        <v>48.36</v>
      </c>
      <c r="F553" t="s">
        <v>880</v>
      </c>
      <c r="G553" s="50">
        <v>-9.4000000000000004E-3</v>
      </c>
    </row>
    <row r="554" spans="1:7" x14ac:dyDescent="0.25">
      <c r="A554" t="s">
        <v>1254</v>
      </c>
      <c r="B554">
        <v>48.86</v>
      </c>
      <c r="C554">
        <v>48.62</v>
      </c>
      <c r="D554">
        <v>49.14</v>
      </c>
      <c r="E554">
        <v>48.5</v>
      </c>
      <c r="F554" t="s">
        <v>1255</v>
      </c>
      <c r="G554" s="50">
        <v>6.0000000000000001E-3</v>
      </c>
    </row>
    <row r="555" spans="1:7" x14ac:dyDescent="0.25">
      <c r="A555" t="s">
        <v>1256</v>
      </c>
      <c r="B555">
        <v>48.57</v>
      </c>
      <c r="C555">
        <v>48.27</v>
      </c>
      <c r="D555">
        <v>48.7</v>
      </c>
      <c r="E555">
        <v>48.15</v>
      </c>
      <c r="F555" t="s">
        <v>947</v>
      </c>
      <c r="G555" s="50">
        <v>1.9E-3</v>
      </c>
    </row>
    <row r="556" spans="1:7" x14ac:dyDescent="0.25">
      <c r="A556" t="s">
        <v>1257</v>
      </c>
      <c r="B556">
        <v>48.48</v>
      </c>
      <c r="C556">
        <v>48.45</v>
      </c>
      <c r="D556">
        <v>48.52</v>
      </c>
      <c r="E556">
        <v>47.9</v>
      </c>
      <c r="F556" t="s">
        <v>1141</v>
      </c>
      <c r="G556" s="50">
        <v>4.1000000000000003E-3</v>
      </c>
    </row>
    <row r="557" spans="1:7" x14ac:dyDescent="0.25">
      <c r="A557" t="s">
        <v>1258</v>
      </c>
      <c r="B557">
        <v>48.28</v>
      </c>
      <c r="C557">
        <v>47.97</v>
      </c>
      <c r="D557">
        <v>48.47</v>
      </c>
      <c r="E557">
        <v>47.85</v>
      </c>
      <c r="F557" t="s">
        <v>1259</v>
      </c>
      <c r="G557" s="50">
        <v>-3.3E-3</v>
      </c>
    </row>
    <row r="558" spans="1:7" x14ac:dyDescent="0.25">
      <c r="A558" t="s">
        <v>1260</v>
      </c>
      <c r="B558">
        <v>48.44</v>
      </c>
      <c r="C558">
        <v>48.75</v>
      </c>
      <c r="D558">
        <v>49.08</v>
      </c>
      <c r="E558">
        <v>48.39</v>
      </c>
      <c r="F558" t="s">
        <v>893</v>
      </c>
      <c r="G558" s="50">
        <v>-1.26E-2</v>
      </c>
    </row>
    <row r="559" spans="1:7" x14ac:dyDescent="0.25">
      <c r="A559" t="s">
        <v>1261</v>
      </c>
      <c r="B559">
        <v>49.06</v>
      </c>
      <c r="C559">
        <v>48.26</v>
      </c>
      <c r="D559">
        <v>49.69</v>
      </c>
      <c r="E559">
        <v>48.19</v>
      </c>
      <c r="F559" t="s">
        <v>1262</v>
      </c>
      <c r="G559" s="50">
        <v>-2.4299999999999999E-2</v>
      </c>
    </row>
    <row r="560" spans="1:7" x14ac:dyDescent="0.25">
      <c r="A560" t="s">
        <v>1263</v>
      </c>
      <c r="B560">
        <v>50.28</v>
      </c>
      <c r="C560">
        <v>49.57</v>
      </c>
      <c r="D560">
        <v>50.34</v>
      </c>
      <c r="E560">
        <v>49.55</v>
      </c>
      <c r="F560" t="s">
        <v>1264</v>
      </c>
      <c r="G560" s="50">
        <v>1.29E-2</v>
      </c>
    </row>
    <row r="561" spans="1:7" x14ac:dyDescent="0.25">
      <c r="A561" t="s">
        <v>1265</v>
      </c>
      <c r="B561">
        <v>49.64</v>
      </c>
      <c r="C561">
        <v>49.62</v>
      </c>
      <c r="D561">
        <v>49.94</v>
      </c>
      <c r="E561">
        <v>49.14</v>
      </c>
      <c r="F561" t="s">
        <v>1266</v>
      </c>
      <c r="G561" s="50">
        <v>-7.0000000000000001E-3</v>
      </c>
    </row>
    <row r="562" spans="1:7" x14ac:dyDescent="0.25">
      <c r="A562" t="s">
        <v>1267</v>
      </c>
      <c r="B562">
        <v>49.99</v>
      </c>
      <c r="C562">
        <v>50.03</v>
      </c>
      <c r="D562">
        <v>50.2</v>
      </c>
      <c r="E562">
        <v>49.53</v>
      </c>
      <c r="F562" t="s">
        <v>1268</v>
      </c>
      <c r="G562" s="50">
        <v>-2.8E-3</v>
      </c>
    </row>
    <row r="563" spans="1:7" x14ac:dyDescent="0.25">
      <c r="A563" t="s">
        <v>1269</v>
      </c>
      <c r="B563">
        <v>50.13</v>
      </c>
      <c r="C563">
        <v>49.93</v>
      </c>
      <c r="D563">
        <v>50.26</v>
      </c>
      <c r="E563">
        <v>49.63</v>
      </c>
      <c r="F563" t="s">
        <v>1270</v>
      </c>
      <c r="G563" s="50">
        <v>3.5999999999999999E-3</v>
      </c>
    </row>
    <row r="564" spans="1:7" x14ac:dyDescent="0.25">
      <c r="A564" t="s">
        <v>1271</v>
      </c>
      <c r="B564">
        <v>49.95</v>
      </c>
      <c r="C564">
        <v>49.9</v>
      </c>
      <c r="D564">
        <v>49.99</v>
      </c>
      <c r="E564">
        <v>49.55</v>
      </c>
      <c r="F564" t="s">
        <v>1227</v>
      </c>
      <c r="G564" s="50">
        <v>3.5999999999999999E-3</v>
      </c>
    </row>
    <row r="565" spans="1:7" x14ac:dyDescent="0.25">
      <c r="A565" t="s">
        <v>1272</v>
      </c>
      <c r="B565">
        <v>49.77</v>
      </c>
      <c r="C565">
        <v>50.3</v>
      </c>
      <c r="D565">
        <v>50.35</v>
      </c>
      <c r="E565">
        <v>49.46</v>
      </c>
      <c r="F565" t="s">
        <v>1273</v>
      </c>
      <c r="G565" s="50">
        <v>-4.1999999999999997E-3</v>
      </c>
    </row>
    <row r="566" spans="1:7" x14ac:dyDescent="0.25">
      <c r="A566" t="s">
        <v>1274</v>
      </c>
      <c r="B566">
        <v>49.98</v>
      </c>
      <c r="C566">
        <v>50.31</v>
      </c>
      <c r="D566">
        <v>50.61</v>
      </c>
      <c r="E566">
        <v>49.78</v>
      </c>
      <c r="F566" t="s">
        <v>1275</v>
      </c>
      <c r="G566" s="50">
        <v>9.4999999999999998E-3</v>
      </c>
    </row>
    <row r="567" spans="1:7" x14ac:dyDescent="0.25">
      <c r="A567" t="s">
        <v>1276</v>
      </c>
      <c r="B567">
        <v>49.51</v>
      </c>
      <c r="C567">
        <v>49.94</v>
      </c>
      <c r="D567">
        <v>50.15</v>
      </c>
      <c r="E567">
        <v>49.26</v>
      </c>
      <c r="F567" t="s">
        <v>1227</v>
      </c>
      <c r="G567" s="50">
        <v>-1.34E-2</v>
      </c>
    </row>
    <row r="568" spans="1:7" x14ac:dyDescent="0.25">
      <c r="A568" t="s">
        <v>1277</v>
      </c>
      <c r="B568">
        <v>50.18</v>
      </c>
      <c r="C568">
        <v>50.14</v>
      </c>
      <c r="D568">
        <v>50.38</v>
      </c>
      <c r="E568">
        <v>49.62</v>
      </c>
      <c r="F568" t="s">
        <v>1278</v>
      </c>
      <c r="G568" s="50">
        <v>0</v>
      </c>
    </row>
    <row r="569" spans="1:7" x14ac:dyDescent="0.25">
      <c r="A569" t="s">
        <v>1279</v>
      </c>
      <c r="B569">
        <v>50.18</v>
      </c>
      <c r="C569">
        <v>50.23</v>
      </c>
      <c r="D569">
        <v>50.46</v>
      </c>
      <c r="E569">
        <v>49.82</v>
      </c>
      <c r="F569" t="s">
        <v>1280</v>
      </c>
      <c r="G569" s="50">
        <v>0</v>
      </c>
    </row>
    <row r="570" spans="1:7" x14ac:dyDescent="0.25">
      <c r="A570" t="s">
        <v>1281</v>
      </c>
      <c r="B570">
        <v>50.18</v>
      </c>
      <c r="C570">
        <v>51.85</v>
      </c>
      <c r="D570">
        <v>51.94</v>
      </c>
      <c r="E570">
        <v>50.07</v>
      </c>
      <c r="F570" t="s">
        <v>1282</v>
      </c>
      <c r="G570" s="50">
        <v>-3.9399999999999998E-2</v>
      </c>
    </row>
    <row r="571" spans="1:7" x14ac:dyDescent="0.25">
      <c r="A571" t="s">
        <v>1283</v>
      </c>
      <c r="B571">
        <v>52.24</v>
      </c>
      <c r="C571">
        <v>52.3</v>
      </c>
      <c r="D571">
        <v>52.42</v>
      </c>
      <c r="E571">
        <v>51.99</v>
      </c>
      <c r="F571" t="s">
        <v>564</v>
      </c>
      <c r="G571" s="50">
        <v>-1E-3</v>
      </c>
    </row>
    <row r="572" spans="1:7" x14ac:dyDescent="0.25">
      <c r="A572" t="s">
        <v>1284</v>
      </c>
      <c r="B572">
        <v>52.29</v>
      </c>
      <c r="C572">
        <v>51.84</v>
      </c>
      <c r="D572">
        <v>52.38</v>
      </c>
      <c r="E572">
        <v>51.83</v>
      </c>
      <c r="F572" t="s">
        <v>1285</v>
      </c>
      <c r="G572" s="50">
        <v>2.8999999999999998E-3</v>
      </c>
    </row>
    <row r="573" spans="1:7" x14ac:dyDescent="0.25">
      <c r="A573" t="s">
        <v>1286</v>
      </c>
      <c r="B573">
        <v>52.14</v>
      </c>
      <c r="C573">
        <v>52.42</v>
      </c>
      <c r="D573">
        <v>52.62</v>
      </c>
      <c r="E573">
        <v>51.99</v>
      </c>
      <c r="F573" t="s">
        <v>1287</v>
      </c>
      <c r="G573" s="50">
        <v>-3.5999999999999999E-3</v>
      </c>
    </row>
    <row r="574" spans="1:7" x14ac:dyDescent="0.25">
      <c r="A574" t="s">
        <v>1288</v>
      </c>
      <c r="B574">
        <v>52.33</v>
      </c>
      <c r="C574">
        <v>51.75</v>
      </c>
      <c r="D574">
        <v>52.56</v>
      </c>
      <c r="E574">
        <v>51.75</v>
      </c>
      <c r="F574" t="s">
        <v>786</v>
      </c>
      <c r="G574" s="50">
        <v>1.9900000000000001E-2</v>
      </c>
    </row>
    <row r="575" spans="1:7" x14ac:dyDescent="0.25">
      <c r="A575" t="s">
        <v>1289</v>
      </c>
      <c r="B575">
        <v>51.31</v>
      </c>
      <c r="C575">
        <v>52</v>
      </c>
      <c r="D575">
        <v>52</v>
      </c>
      <c r="E575">
        <v>51.21</v>
      </c>
      <c r="F575" t="s">
        <v>1290</v>
      </c>
      <c r="G575" s="50">
        <v>-8.6999999999999994E-3</v>
      </c>
    </row>
    <row r="576" spans="1:7" x14ac:dyDescent="0.25">
      <c r="A576" t="s">
        <v>1291</v>
      </c>
      <c r="B576">
        <v>51.76</v>
      </c>
      <c r="C576">
        <v>51.39</v>
      </c>
      <c r="D576">
        <v>51.82</v>
      </c>
      <c r="E576">
        <v>51.3</v>
      </c>
      <c r="F576" t="s">
        <v>1292</v>
      </c>
      <c r="G576" s="50">
        <v>3.7000000000000002E-3</v>
      </c>
    </row>
    <row r="577" spans="1:7" x14ac:dyDescent="0.25">
      <c r="A577" t="s">
        <v>1293</v>
      </c>
      <c r="B577">
        <v>51.57</v>
      </c>
      <c r="C577">
        <v>51.55</v>
      </c>
      <c r="D577">
        <v>51.78</v>
      </c>
      <c r="E577">
        <v>51.41</v>
      </c>
      <c r="F577" t="s">
        <v>1294</v>
      </c>
      <c r="G577" s="50">
        <v>5.8999999999999999E-3</v>
      </c>
    </row>
    <row r="578" spans="1:7" x14ac:dyDescent="0.25">
      <c r="A578" t="s">
        <v>1295</v>
      </c>
      <c r="B578">
        <v>51.27</v>
      </c>
      <c r="C578">
        <v>50.75</v>
      </c>
      <c r="D578">
        <v>51.38</v>
      </c>
      <c r="E578">
        <v>50.73</v>
      </c>
      <c r="F578" t="s">
        <v>1296</v>
      </c>
      <c r="G578" s="50">
        <v>1.0200000000000001E-2</v>
      </c>
    </row>
    <row r="579" spans="1:7" x14ac:dyDescent="0.25">
      <c r="A579" t="s">
        <v>1297</v>
      </c>
      <c r="B579">
        <v>50.75</v>
      </c>
      <c r="C579">
        <v>50.3</v>
      </c>
      <c r="D579">
        <v>50.8</v>
      </c>
      <c r="E579">
        <v>50.28</v>
      </c>
      <c r="F579" t="s">
        <v>1298</v>
      </c>
      <c r="G579" s="50">
        <v>8.8999999999999999E-3</v>
      </c>
    </row>
    <row r="580" spans="1:7" x14ac:dyDescent="0.25">
      <c r="A580" t="s">
        <v>1299</v>
      </c>
      <c r="B580">
        <v>50.3</v>
      </c>
      <c r="C580">
        <v>50.24</v>
      </c>
      <c r="D580">
        <v>50.43</v>
      </c>
      <c r="E580">
        <v>49.91</v>
      </c>
      <c r="F580" t="s">
        <v>1207</v>
      </c>
      <c r="G580" s="50">
        <v>-5.7000000000000002E-3</v>
      </c>
    </row>
    <row r="581" spans="1:7" x14ac:dyDescent="0.25">
      <c r="A581" t="s">
        <v>1300</v>
      </c>
      <c r="B581">
        <v>50.59</v>
      </c>
      <c r="C581">
        <v>50.25</v>
      </c>
      <c r="D581">
        <v>50.59</v>
      </c>
      <c r="E581">
        <v>50.07</v>
      </c>
      <c r="F581" t="s">
        <v>399</v>
      </c>
      <c r="G581" s="50">
        <v>5.0000000000000001E-3</v>
      </c>
    </row>
    <row r="582" spans="1:7" x14ac:dyDescent="0.25">
      <c r="A582" t="s">
        <v>1301</v>
      </c>
      <c r="B582">
        <v>50.34</v>
      </c>
      <c r="C582">
        <v>50.5</v>
      </c>
      <c r="D582">
        <v>50.81</v>
      </c>
      <c r="E582">
        <v>50.29</v>
      </c>
      <c r="F582" t="s">
        <v>1181</v>
      </c>
      <c r="G582" s="50">
        <v>-2E-3</v>
      </c>
    </row>
    <row r="583" spans="1:7" x14ac:dyDescent="0.25">
      <c r="A583" t="s">
        <v>1302</v>
      </c>
      <c r="B583">
        <v>50.44</v>
      </c>
      <c r="C583">
        <v>50.45</v>
      </c>
      <c r="D583">
        <v>50.5</v>
      </c>
      <c r="E583">
        <v>50.04</v>
      </c>
      <c r="F583" t="s">
        <v>784</v>
      </c>
      <c r="G583" s="50">
        <v>4.0000000000000001E-3</v>
      </c>
    </row>
    <row r="584" spans="1:7" x14ac:dyDescent="0.25">
      <c r="A584" t="s">
        <v>1303</v>
      </c>
      <c r="B584">
        <v>50.24</v>
      </c>
      <c r="C584">
        <v>50</v>
      </c>
      <c r="D584">
        <v>50.32</v>
      </c>
      <c r="E584">
        <v>49.82</v>
      </c>
      <c r="F584" t="s">
        <v>1304</v>
      </c>
      <c r="G584" s="50">
        <v>6.6E-3</v>
      </c>
    </row>
    <row r="585" spans="1:7" x14ac:dyDescent="0.25">
      <c r="A585" t="s">
        <v>1305</v>
      </c>
      <c r="B585">
        <v>49.91</v>
      </c>
      <c r="C585">
        <v>49.96</v>
      </c>
      <c r="D585">
        <v>50.03</v>
      </c>
      <c r="E585">
        <v>49.43</v>
      </c>
      <c r="F585" t="s">
        <v>1306</v>
      </c>
      <c r="G585" s="50">
        <v>-1.09E-2</v>
      </c>
    </row>
    <row r="586" spans="1:7" x14ac:dyDescent="0.25">
      <c r="A586" t="s">
        <v>1307</v>
      </c>
      <c r="B586">
        <v>50.46</v>
      </c>
      <c r="C586">
        <v>49.75</v>
      </c>
      <c r="D586">
        <v>50.5</v>
      </c>
      <c r="E586">
        <v>49.69</v>
      </c>
      <c r="F586" t="s">
        <v>1308</v>
      </c>
      <c r="G586" s="50">
        <v>7.4000000000000003E-3</v>
      </c>
    </row>
    <row r="587" spans="1:7" x14ac:dyDescent="0.25">
      <c r="A587" t="s">
        <v>1309</v>
      </c>
      <c r="B587">
        <v>50.09</v>
      </c>
      <c r="C587">
        <v>50.18</v>
      </c>
      <c r="D587">
        <v>50.37</v>
      </c>
      <c r="E587">
        <v>49.87</v>
      </c>
      <c r="F587" t="s">
        <v>1310</v>
      </c>
      <c r="G587" s="50">
        <v>2.0000000000000001E-4</v>
      </c>
    </row>
    <row r="588" spans="1:7" x14ac:dyDescent="0.25">
      <c r="A588" t="s">
        <v>1311</v>
      </c>
      <c r="B588">
        <v>50.08</v>
      </c>
      <c r="C588">
        <v>50.44</v>
      </c>
      <c r="D588">
        <v>50.51</v>
      </c>
      <c r="E588">
        <v>49.99</v>
      </c>
      <c r="F588" t="s">
        <v>1312</v>
      </c>
      <c r="G588" s="50">
        <v>-8.5000000000000006E-3</v>
      </c>
    </row>
    <row r="589" spans="1:7" x14ac:dyDescent="0.25">
      <c r="A589" t="s">
        <v>1313</v>
      </c>
      <c r="B589">
        <v>50.51</v>
      </c>
      <c r="C589">
        <v>50.17</v>
      </c>
      <c r="D589">
        <v>50.68</v>
      </c>
      <c r="E589">
        <v>49.94</v>
      </c>
      <c r="F589" t="s">
        <v>1294</v>
      </c>
      <c r="G589" s="50">
        <v>0</v>
      </c>
    </row>
    <row r="590" spans="1:7" x14ac:dyDescent="0.25">
      <c r="A590" t="s">
        <v>1314</v>
      </c>
      <c r="B590">
        <v>50.51</v>
      </c>
      <c r="C590">
        <v>50.49</v>
      </c>
      <c r="D590">
        <v>50.86</v>
      </c>
      <c r="E590">
        <v>50.25</v>
      </c>
      <c r="F590" t="s">
        <v>1315</v>
      </c>
      <c r="G590" s="50">
        <v>-2.0000000000000001E-4</v>
      </c>
    </row>
    <row r="591" spans="1:7" x14ac:dyDescent="0.25">
      <c r="A591" t="s">
        <v>1316</v>
      </c>
      <c r="B591">
        <v>50.52</v>
      </c>
      <c r="C591">
        <v>50.45</v>
      </c>
      <c r="D591">
        <v>50.58</v>
      </c>
      <c r="E591">
        <v>50.22</v>
      </c>
      <c r="F591" t="s">
        <v>1317</v>
      </c>
      <c r="G591" s="50">
        <v>8.0000000000000004E-4</v>
      </c>
    </row>
    <row r="592" spans="1:7" x14ac:dyDescent="0.25">
      <c r="A592" t="s">
        <v>1318</v>
      </c>
      <c r="B592">
        <v>50.48</v>
      </c>
      <c r="C592">
        <v>50.58</v>
      </c>
      <c r="D592">
        <v>50.63</v>
      </c>
      <c r="E592">
        <v>50.42</v>
      </c>
      <c r="F592" t="s">
        <v>1319</v>
      </c>
      <c r="G592" s="50">
        <v>8.0000000000000004E-4</v>
      </c>
    </row>
    <row r="593" spans="1:7" x14ac:dyDescent="0.25">
      <c r="A593" t="s">
        <v>1320</v>
      </c>
      <c r="B593">
        <v>50.44</v>
      </c>
      <c r="C593">
        <v>50.3</v>
      </c>
      <c r="D593">
        <v>50.56</v>
      </c>
      <c r="E593">
        <v>50.28</v>
      </c>
      <c r="F593" t="s">
        <v>1321</v>
      </c>
      <c r="G593" s="50">
        <v>3.2000000000000002E-3</v>
      </c>
    </row>
    <row r="594" spans="1:7" x14ac:dyDescent="0.25">
      <c r="A594" t="s">
        <v>1322</v>
      </c>
      <c r="B594">
        <v>50.28</v>
      </c>
      <c r="C594">
        <v>50.11</v>
      </c>
      <c r="D594">
        <v>50.4</v>
      </c>
      <c r="E594">
        <v>50.05</v>
      </c>
      <c r="F594" t="s">
        <v>1323</v>
      </c>
      <c r="G594" s="50">
        <v>3.8E-3</v>
      </c>
    </row>
    <row r="595" spans="1:7" x14ac:dyDescent="0.25">
      <c r="A595" t="s">
        <v>1324</v>
      </c>
      <c r="B595">
        <v>50.09</v>
      </c>
      <c r="C595">
        <v>49.84</v>
      </c>
      <c r="D595">
        <v>50.39</v>
      </c>
      <c r="E595">
        <v>49.84</v>
      </c>
      <c r="F595" t="s">
        <v>1325</v>
      </c>
      <c r="G595" s="50">
        <v>7.7999999999999996E-3</v>
      </c>
    </row>
    <row r="596" spans="1:7" x14ac:dyDescent="0.25">
      <c r="A596" t="s">
        <v>1326</v>
      </c>
      <c r="B596">
        <v>49.7</v>
      </c>
      <c r="C596">
        <v>49.93</v>
      </c>
      <c r="D596">
        <v>49.98</v>
      </c>
      <c r="E596">
        <v>49.38</v>
      </c>
      <c r="F596" t="s">
        <v>1327</v>
      </c>
      <c r="G596" s="50">
        <v>-2E-3</v>
      </c>
    </row>
    <row r="597" spans="1:7" x14ac:dyDescent="0.25">
      <c r="A597" t="s">
        <v>1328</v>
      </c>
      <c r="B597">
        <v>49.8</v>
      </c>
      <c r="C597">
        <v>50.12</v>
      </c>
      <c r="D597">
        <v>50.33</v>
      </c>
      <c r="E597">
        <v>49.79</v>
      </c>
      <c r="F597" t="s">
        <v>389</v>
      </c>
      <c r="G597" s="50">
        <v>-7.6E-3</v>
      </c>
    </row>
    <row r="598" spans="1:7" x14ac:dyDescent="0.25">
      <c r="A598" t="s">
        <v>1329</v>
      </c>
      <c r="B598">
        <v>50.18</v>
      </c>
      <c r="C598">
        <v>50.37</v>
      </c>
      <c r="D598">
        <v>50.46</v>
      </c>
      <c r="E598">
        <v>49.83</v>
      </c>
      <c r="F598" t="s">
        <v>1084</v>
      </c>
      <c r="G598" s="50">
        <v>-1.1999999999999999E-3</v>
      </c>
    </row>
    <row r="599" spans="1:7" x14ac:dyDescent="0.25">
      <c r="A599" t="s">
        <v>1330</v>
      </c>
      <c r="B599">
        <v>50.24</v>
      </c>
      <c r="C599">
        <v>49.92</v>
      </c>
      <c r="D599">
        <v>50.29</v>
      </c>
      <c r="E599">
        <v>49.4</v>
      </c>
      <c r="F599" t="s">
        <v>1331</v>
      </c>
      <c r="G599" s="50">
        <v>7.4000000000000003E-3</v>
      </c>
    </row>
    <row r="600" spans="1:7" x14ac:dyDescent="0.25">
      <c r="A600" t="s">
        <v>1332</v>
      </c>
      <c r="B600">
        <v>49.87</v>
      </c>
      <c r="C600">
        <v>49.49</v>
      </c>
      <c r="D600">
        <v>49.93</v>
      </c>
      <c r="E600">
        <v>49.43</v>
      </c>
      <c r="F600" t="s">
        <v>1333</v>
      </c>
      <c r="G600" s="50">
        <v>8.6999999999999994E-3</v>
      </c>
    </row>
    <row r="601" spans="1:7" x14ac:dyDescent="0.25">
      <c r="A601" t="s">
        <v>1334</v>
      </c>
      <c r="B601">
        <v>49.44</v>
      </c>
      <c r="C601">
        <v>50</v>
      </c>
      <c r="D601">
        <v>50.01</v>
      </c>
      <c r="E601">
        <v>49.17</v>
      </c>
      <c r="F601" t="s">
        <v>1335</v>
      </c>
      <c r="G601" s="50">
        <v>-5.0000000000000001E-3</v>
      </c>
    </row>
    <row r="602" spans="1:7" x14ac:dyDescent="0.25">
      <c r="A602" t="s">
        <v>1336</v>
      </c>
      <c r="B602">
        <v>49.69</v>
      </c>
      <c r="C602">
        <v>49.24</v>
      </c>
      <c r="D602">
        <v>49.7</v>
      </c>
      <c r="E602">
        <v>48.81</v>
      </c>
      <c r="F602" t="s">
        <v>1337</v>
      </c>
      <c r="G602" s="50">
        <v>7.3000000000000001E-3</v>
      </c>
    </row>
    <row r="603" spans="1:7" x14ac:dyDescent="0.25">
      <c r="A603" t="s">
        <v>1338</v>
      </c>
      <c r="B603">
        <v>49.33</v>
      </c>
      <c r="C603">
        <v>49.58</v>
      </c>
      <c r="D603">
        <v>49.59</v>
      </c>
      <c r="E603">
        <v>49.1</v>
      </c>
      <c r="F603" t="s">
        <v>1339</v>
      </c>
      <c r="G603" s="50">
        <v>-1.1999999999999999E-3</v>
      </c>
    </row>
    <row r="604" spans="1:7" x14ac:dyDescent="0.25">
      <c r="A604" t="s">
        <v>1340</v>
      </c>
      <c r="B604">
        <v>49.39</v>
      </c>
      <c r="C604">
        <v>48.94</v>
      </c>
      <c r="D604">
        <v>49.44</v>
      </c>
      <c r="E604">
        <v>48.85</v>
      </c>
      <c r="F604" t="s">
        <v>1341</v>
      </c>
      <c r="G604" s="50">
        <v>2.0899999999999998E-2</v>
      </c>
    </row>
    <row r="605" spans="1:7" x14ac:dyDescent="0.25">
      <c r="A605" t="s">
        <v>1342</v>
      </c>
      <c r="B605">
        <v>48.38</v>
      </c>
      <c r="C605">
        <v>48.28</v>
      </c>
      <c r="D605">
        <v>48.59</v>
      </c>
      <c r="E605">
        <v>48.21</v>
      </c>
      <c r="F605" t="s">
        <v>1343</v>
      </c>
      <c r="G605" s="50">
        <v>2.5000000000000001E-3</v>
      </c>
    </row>
    <row r="606" spans="1:7" x14ac:dyDescent="0.25">
      <c r="A606" t="s">
        <v>1344</v>
      </c>
      <c r="B606">
        <v>48.26</v>
      </c>
      <c r="C606">
        <v>47.9</v>
      </c>
      <c r="D606">
        <v>48.36</v>
      </c>
      <c r="E606">
        <v>47.8</v>
      </c>
      <c r="F606" t="s">
        <v>1345</v>
      </c>
      <c r="G606" s="50">
        <v>1.17E-2</v>
      </c>
    </row>
    <row r="607" spans="1:7" x14ac:dyDescent="0.25">
      <c r="A607" t="s">
        <v>1346</v>
      </c>
      <c r="B607">
        <v>47.7</v>
      </c>
      <c r="C607">
        <v>48.07</v>
      </c>
      <c r="D607">
        <v>48.21</v>
      </c>
      <c r="E607">
        <v>47.65</v>
      </c>
      <c r="F607" t="s">
        <v>1347</v>
      </c>
      <c r="G607" s="50">
        <v>-4.7999999999999996E-3</v>
      </c>
    </row>
    <row r="608" spans="1:7" x14ac:dyDescent="0.25">
      <c r="A608" t="s">
        <v>1348</v>
      </c>
      <c r="B608">
        <v>47.93</v>
      </c>
      <c r="C608">
        <v>47.74</v>
      </c>
      <c r="D608">
        <v>47.96</v>
      </c>
      <c r="E608">
        <v>47.59</v>
      </c>
      <c r="F608" t="s">
        <v>391</v>
      </c>
      <c r="G608" s="50">
        <v>-2.5000000000000001E-3</v>
      </c>
    </row>
    <row r="609" spans="1:7" x14ac:dyDescent="0.25">
      <c r="A609" t="s">
        <v>1349</v>
      </c>
      <c r="B609">
        <v>48.05</v>
      </c>
      <c r="C609">
        <v>48.06</v>
      </c>
      <c r="D609">
        <v>48.18</v>
      </c>
      <c r="E609">
        <v>47.78</v>
      </c>
      <c r="F609" t="s">
        <v>389</v>
      </c>
      <c r="G609" s="50">
        <v>-8.6999999999999994E-3</v>
      </c>
    </row>
    <row r="610" spans="1:7" x14ac:dyDescent="0.25">
      <c r="A610" t="s">
        <v>1350</v>
      </c>
      <c r="B610">
        <v>48.47</v>
      </c>
      <c r="C610">
        <v>48.28</v>
      </c>
      <c r="D610">
        <v>48.78</v>
      </c>
      <c r="E610">
        <v>48.02</v>
      </c>
      <c r="F610" t="s">
        <v>1091</v>
      </c>
      <c r="G610" s="50">
        <v>1.9E-3</v>
      </c>
    </row>
    <row r="611" spans="1:7" x14ac:dyDescent="0.25">
      <c r="A611" t="s">
        <v>1351</v>
      </c>
      <c r="B611">
        <v>48.38</v>
      </c>
      <c r="C611">
        <v>48.19</v>
      </c>
      <c r="D611">
        <v>48.5</v>
      </c>
      <c r="E611">
        <v>47.94</v>
      </c>
      <c r="F611" t="s">
        <v>1352</v>
      </c>
      <c r="G611" s="50">
        <v>6.8999999999999999E-3</v>
      </c>
    </row>
    <row r="612" spans="1:7" x14ac:dyDescent="0.25">
      <c r="A612" t="s">
        <v>1353</v>
      </c>
      <c r="B612">
        <v>48.05</v>
      </c>
      <c r="C612">
        <v>48.11</v>
      </c>
      <c r="D612">
        <v>48.44</v>
      </c>
      <c r="E612">
        <v>48.03</v>
      </c>
      <c r="F612" t="s">
        <v>259</v>
      </c>
      <c r="G612" s="50">
        <v>4.1999999999999997E-3</v>
      </c>
    </row>
    <row r="613" spans="1:7" x14ac:dyDescent="0.25">
      <c r="A613" t="s">
        <v>1354</v>
      </c>
      <c r="B613">
        <v>47.85</v>
      </c>
      <c r="C613">
        <v>47.95</v>
      </c>
      <c r="D613">
        <v>48.19</v>
      </c>
      <c r="E613">
        <v>47.81</v>
      </c>
      <c r="F613" t="s">
        <v>1355</v>
      </c>
      <c r="G613" s="50">
        <v>-1.6999999999999999E-3</v>
      </c>
    </row>
    <row r="614" spans="1:7" x14ac:dyDescent="0.25">
      <c r="A614" t="s">
        <v>1356</v>
      </c>
      <c r="B614">
        <v>47.93</v>
      </c>
      <c r="C614">
        <v>48.33</v>
      </c>
      <c r="D614">
        <v>48.37</v>
      </c>
      <c r="E614">
        <v>47.91</v>
      </c>
      <c r="F614" t="s">
        <v>428</v>
      </c>
      <c r="G614" s="50">
        <v>-8.8999999999999999E-3</v>
      </c>
    </row>
    <row r="615" spans="1:7" x14ac:dyDescent="0.25">
      <c r="A615" t="s">
        <v>1357</v>
      </c>
      <c r="B615">
        <v>48.36</v>
      </c>
      <c r="C615">
        <v>48.09</v>
      </c>
      <c r="D615">
        <v>48.4</v>
      </c>
      <c r="E615">
        <v>48.05</v>
      </c>
      <c r="F615" t="s">
        <v>1358</v>
      </c>
      <c r="G615" s="50">
        <v>5.7999999999999996E-3</v>
      </c>
    </row>
    <row r="616" spans="1:7" x14ac:dyDescent="0.25">
      <c r="A616" t="s">
        <v>1359</v>
      </c>
      <c r="B616">
        <v>48.08</v>
      </c>
      <c r="C616">
        <v>48.08</v>
      </c>
      <c r="D616">
        <v>48.35</v>
      </c>
      <c r="E616">
        <v>47.94</v>
      </c>
      <c r="F616" t="s">
        <v>1360</v>
      </c>
      <c r="G616" s="50">
        <v>5.8999999999999999E-3</v>
      </c>
    </row>
    <row r="617" spans="1:7" x14ac:dyDescent="0.25">
      <c r="A617" t="s">
        <v>1361</v>
      </c>
      <c r="B617">
        <v>47.8</v>
      </c>
      <c r="C617">
        <v>48.27</v>
      </c>
      <c r="D617">
        <v>48.35</v>
      </c>
      <c r="E617">
        <v>47.66</v>
      </c>
      <c r="F617" t="s">
        <v>1362</v>
      </c>
      <c r="G617" s="50">
        <v>-9.7000000000000003E-3</v>
      </c>
    </row>
    <row r="618" spans="1:7" x14ac:dyDescent="0.25">
      <c r="A618" t="s">
        <v>1363</v>
      </c>
      <c r="B618">
        <v>48.27</v>
      </c>
      <c r="C618">
        <v>47.56</v>
      </c>
      <c r="D618">
        <v>48.37</v>
      </c>
      <c r="E618">
        <v>47.55</v>
      </c>
      <c r="F618" t="s">
        <v>1364</v>
      </c>
      <c r="G618" s="50">
        <v>1.0800000000000001E-2</v>
      </c>
    </row>
    <row r="619" spans="1:7" x14ac:dyDescent="0.25">
      <c r="A619" t="s">
        <v>1365</v>
      </c>
      <c r="B619">
        <v>47.76</v>
      </c>
      <c r="C619">
        <v>48.05</v>
      </c>
      <c r="D619">
        <v>48.36</v>
      </c>
      <c r="E619">
        <v>47.73</v>
      </c>
      <c r="F619" t="s">
        <v>1366</v>
      </c>
      <c r="G619" s="50">
        <v>-5.8999999999999999E-3</v>
      </c>
    </row>
    <row r="620" spans="1:7" x14ac:dyDescent="0.25">
      <c r="A620" t="s">
        <v>1367</v>
      </c>
      <c r="B620">
        <v>48.04</v>
      </c>
      <c r="C620">
        <v>47.41</v>
      </c>
      <c r="D620">
        <v>48.06</v>
      </c>
      <c r="E620">
        <v>46.2</v>
      </c>
      <c r="F620" t="s">
        <v>1368</v>
      </c>
      <c r="G620" s="50">
        <v>-9.8299999999999998E-2</v>
      </c>
    </row>
    <row r="621" spans="1:7" x14ac:dyDescent="0.25">
      <c r="A621" t="s">
        <v>1369</v>
      </c>
      <c r="B621">
        <v>53.28</v>
      </c>
      <c r="C621">
        <v>53.27</v>
      </c>
      <c r="D621">
        <v>53.43</v>
      </c>
      <c r="E621">
        <v>53.03</v>
      </c>
      <c r="F621" t="s">
        <v>1370</v>
      </c>
      <c r="G621" s="50">
        <v>2.0999999999999999E-3</v>
      </c>
    </row>
    <row r="622" spans="1:7" x14ac:dyDescent="0.25">
      <c r="A622" t="s">
        <v>1371</v>
      </c>
      <c r="B622">
        <v>53.17</v>
      </c>
      <c r="C622">
        <v>52.47</v>
      </c>
      <c r="D622">
        <v>53.37</v>
      </c>
      <c r="E622">
        <v>52.47</v>
      </c>
      <c r="F622" t="s">
        <v>1372</v>
      </c>
      <c r="G622" s="50">
        <v>1.7999999999999999E-2</v>
      </c>
    </row>
    <row r="623" spans="1:7" x14ac:dyDescent="0.25">
      <c r="A623" t="s">
        <v>1373</v>
      </c>
      <c r="B623">
        <v>52.23</v>
      </c>
      <c r="C623">
        <v>52.48</v>
      </c>
      <c r="D623">
        <v>52.64</v>
      </c>
      <c r="E623">
        <v>52.09</v>
      </c>
      <c r="F623" t="s">
        <v>795</v>
      </c>
      <c r="G623" s="50">
        <v>-6.7999999999999996E-3</v>
      </c>
    </row>
    <row r="624" spans="1:7" x14ac:dyDescent="0.25">
      <c r="A624" t="s">
        <v>1374</v>
      </c>
      <c r="B624">
        <v>52.59</v>
      </c>
      <c r="C624">
        <v>52.25</v>
      </c>
      <c r="D624">
        <v>52.63</v>
      </c>
      <c r="E624">
        <v>51.93</v>
      </c>
      <c r="F624" t="s">
        <v>1207</v>
      </c>
      <c r="G624" s="50">
        <v>1.1299999999999999E-2</v>
      </c>
    </row>
    <row r="625" spans="1:7" x14ac:dyDescent="0.25">
      <c r="A625" t="s">
        <v>1375</v>
      </c>
      <c r="B625">
        <v>52</v>
      </c>
      <c r="C625">
        <v>52.12</v>
      </c>
      <c r="D625">
        <v>52.57</v>
      </c>
      <c r="E625">
        <v>51.75</v>
      </c>
      <c r="F625" t="s">
        <v>1017</v>
      </c>
      <c r="G625" s="50">
        <v>-1.89E-2</v>
      </c>
    </row>
    <row r="626" spans="1:7" x14ac:dyDescent="0.25">
      <c r="A626" t="s">
        <v>1376</v>
      </c>
      <c r="B626">
        <v>53</v>
      </c>
      <c r="C626">
        <v>53.39</v>
      </c>
      <c r="D626">
        <v>53.5</v>
      </c>
      <c r="E626">
        <v>52.77</v>
      </c>
      <c r="F626" t="s">
        <v>1377</v>
      </c>
      <c r="G626" s="50">
        <v>-2.3999999999999998E-3</v>
      </c>
    </row>
    <row r="627" spans="1:7" x14ac:dyDescent="0.25">
      <c r="A627" t="s">
        <v>1378</v>
      </c>
      <c r="B627">
        <v>53.13</v>
      </c>
      <c r="C627">
        <v>53.34</v>
      </c>
      <c r="D627">
        <v>53.44</v>
      </c>
      <c r="E627">
        <v>52.97</v>
      </c>
      <c r="F627" t="s">
        <v>1160</v>
      </c>
      <c r="G627" s="50">
        <v>-3.0000000000000001E-3</v>
      </c>
    </row>
    <row r="628" spans="1:7" x14ac:dyDescent="0.25">
      <c r="A628" t="s">
        <v>1379</v>
      </c>
      <c r="B628">
        <v>53.29</v>
      </c>
      <c r="C628">
        <v>52.97</v>
      </c>
      <c r="D628">
        <v>53.3</v>
      </c>
      <c r="E628">
        <v>52.88</v>
      </c>
      <c r="F628" t="s">
        <v>245</v>
      </c>
      <c r="G628" s="50">
        <v>5.3E-3</v>
      </c>
    </row>
    <row r="629" spans="1:7" x14ac:dyDescent="0.25">
      <c r="A629" t="s">
        <v>1380</v>
      </c>
      <c r="B629">
        <v>53.01</v>
      </c>
      <c r="C629">
        <v>53.26</v>
      </c>
      <c r="D629">
        <v>53.45</v>
      </c>
      <c r="E629">
        <v>52.63</v>
      </c>
      <c r="F629" t="s">
        <v>428</v>
      </c>
      <c r="G629" s="50">
        <v>4.8999999999999998E-3</v>
      </c>
    </row>
    <row r="630" spans="1:7" x14ac:dyDescent="0.25">
      <c r="A630" t="s">
        <v>1381</v>
      </c>
      <c r="B630">
        <v>52.75</v>
      </c>
      <c r="C630">
        <v>52.32</v>
      </c>
      <c r="D630">
        <v>52.8</v>
      </c>
      <c r="E630">
        <v>52.18</v>
      </c>
      <c r="F630" t="s">
        <v>1382</v>
      </c>
      <c r="G630" s="50">
        <v>1.0699999999999999E-2</v>
      </c>
    </row>
    <row r="631" spans="1:7" x14ac:dyDescent="0.25">
      <c r="A631" t="s">
        <v>1383</v>
      </c>
      <c r="B631">
        <v>52.19</v>
      </c>
      <c r="C631">
        <v>52.04</v>
      </c>
      <c r="D631">
        <v>52.28</v>
      </c>
      <c r="E631">
        <v>51.8</v>
      </c>
      <c r="F631" t="s">
        <v>1384</v>
      </c>
      <c r="G631" s="50">
        <v>1.1999999999999999E-3</v>
      </c>
    </row>
    <row r="632" spans="1:7" x14ac:dyDescent="0.25">
      <c r="A632" t="s">
        <v>1385</v>
      </c>
      <c r="B632">
        <v>52.13</v>
      </c>
      <c r="C632">
        <v>51.75</v>
      </c>
      <c r="D632">
        <v>52.17</v>
      </c>
      <c r="E632">
        <v>51.68</v>
      </c>
      <c r="F632" t="s">
        <v>1386</v>
      </c>
      <c r="G632" s="50">
        <v>1.09E-2</v>
      </c>
    </row>
    <row r="633" spans="1:7" x14ac:dyDescent="0.25">
      <c r="A633" t="s">
        <v>1387</v>
      </c>
      <c r="B633">
        <v>51.57</v>
      </c>
      <c r="C633">
        <v>51.35</v>
      </c>
      <c r="D633">
        <v>51.64</v>
      </c>
      <c r="E633">
        <v>51.09</v>
      </c>
      <c r="F633" t="s">
        <v>1388</v>
      </c>
      <c r="G633" s="50">
        <v>2.0000000000000001E-4</v>
      </c>
    </row>
    <row r="634" spans="1:7" x14ac:dyDescent="0.25">
      <c r="A634" t="s">
        <v>1389</v>
      </c>
      <c r="B634">
        <v>51.56</v>
      </c>
      <c r="C634">
        <v>51.64</v>
      </c>
      <c r="D634">
        <v>52.15</v>
      </c>
      <c r="E634">
        <v>51.4</v>
      </c>
      <c r="F634" t="s">
        <v>1390</v>
      </c>
      <c r="G634" s="50">
        <v>3.7000000000000002E-3</v>
      </c>
    </row>
    <row r="635" spans="1:7" x14ac:dyDescent="0.25">
      <c r="A635" t="s">
        <v>1391</v>
      </c>
      <c r="B635">
        <v>51.37</v>
      </c>
      <c r="C635">
        <v>51.87</v>
      </c>
      <c r="D635">
        <v>52.13</v>
      </c>
      <c r="E635">
        <v>51.31</v>
      </c>
      <c r="F635" t="s">
        <v>1236</v>
      </c>
      <c r="G635" s="50">
        <v>-1.9699999999999999E-2</v>
      </c>
    </row>
    <row r="636" spans="1:7" x14ac:dyDescent="0.25">
      <c r="A636" t="s">
        <v>1392</v>
      </c>
      <c r="B636">
        <v>52.4</v>
      </c>
      <c r="C636">
        <v>53.11</v>
      </c>
      <c r="D636">
        <v>53.37</v>
      </c>
      <c r="E636">
        <v>52.33</v>
      </c>
      <c r="F636" t="s">
        <v>1393</v>
      </c>
      <c r="G636" s="50">
        <v>-1.15E-2</v>
      </c>
    </row>
    <row r="637" spans="1:7" x14ac:dyDescent="0.25">
      <c r="A637" t="s">
        <v>1394</v>
      </c>
      <c r="B637">
        <v>53.01</v>
      </c>
      <c r="C637">
        <v>52.26</v>
      </c>
      <c r="D637">
        <v>53.05</v>
      </c>
      <c r="E637">
        <v>52.06</v>
      </c>
      <c r="F637" t="s">
        <v>1395</v>
      </c>
      <c r="G637" s="50">
        <v>1.55E-2</v>
      </c>
    </row>
    <row r="638" spans="1:7" x14ac:dyDescent="0.25">
      <c r="A638" t="s">
        <v>1396</v>
      </c>
      <c r="B638">
        <v>52.2</v>
      </c>
      <c r="C638">
        <v>52.82</v>
      </c>
      <c r="D638">
        <v>52.85</v>
      </c>
      <c r="E638">
        <v>52.16</v>
      </c>
      <c r="F638" t="s">
        <v>372</v>
      </c>
      <c r="G638" s="50">
        <v>-1.38E-2</v>
      </c>
    </row>
    <row r="639" spans="1:7" x14ac:dyDescent="0.25">
      <c r="A639" t="s">
        <v>1397</v>
      </c>
      <c r="B639">
        <v>52.93</v>
      </c>
      <c r="C639">
        <v>53.39</v>
      </c>
      <c r="D639">
        <v>53.59</v>
      </c>
      <c r="E639">
        <v>52.8</v>
      </c>
      <c r="F639" t="s">
        <v>1398</v>
      </c>
      <c r="G639" s="50">
        <v>-7.3000000000000001E-3</v>
      </c>
    </row>
    <row r="640" spans="1:7" x14ac:dyDescent="0.25">
      <c r="A640" t="s">
        <v>1399</v>
      </c>
      <c r="B640">
        <v>53.32</v>
      </c>
      <c r="C640">
        <v>53.76</v>
      </c>
      <c r="D640">
        <v>53.93</v>
      </c>
      <c r="E640">
        <v>53.2</v>
      </c>
      <c r="F640" t="s">
        <v>401</v>
      </c>
      <c r="G640" s="50">
        <v>-8.3999999999999995E-3</v>
      </c>
    </row>
    <row r="641" spans="1:7" x14ac:dyDescent="0.25">
      <c r="A641" t="s">
        <v>1400</v>
      </c>
      <c r="B641">
        <v>53.77</v>
      </c>
      <c r="C641">
        <v>53.79</v>
      </c>
      <c r="D641">
        <v>54.19</v>
      </c>
      <c r="E641">
        <v>53.6</v>
      </c>
      <c r="F641" t="s">
        <v>1401</v>
      </c>
      <c r="G641" s="50">
        <v>-3.2000000000000002E-3</v>
      </c>
    </row>
    <row r="642" spans="1:7" x14ac:dyDescent="0.25">
      <c r="A642" t="s">
        <v>1402</v>
      </c>
      <c r="B642">
        <v>53.94</v>
      </c>
      <c r="C642">
        <v>53.79</v>
      </c>
      <c r="D642">
        <v>53.98</v>
      </c>
      <c r="E642">
        <v>53.17</v>
      </c>
      <c r="F642" t="s">
        <v>1403</v>
      </c>
      <c r="G642" s="50">
        <v>-4.1000000000000003E-3</v>
      </c>
    </row>
    <row r="643" spans="1:7" x14ac:dyDescent="0.25">
      <c r="A643" t="s">
        <v>1404</v>
      </c>
      <c r="B643">
        <v>54.16</v>
      </c>
      <c r="C643">
        <v>54.07</v>
      </c>
      <c r="D643">
        <v>54.58</v>
      </c>
      <c r="E643">
        <v>54.04</v>
      </c>
      <c r="F643" t="s">
        <v>1405</v>
      </c>
      <c r="G643" s="50">
        <v>7.3000000000000001E-3</v>
      </c>
    </row>
    <row r="644" spans="1:7" x14ac:dyDescent="0.25">
      <c r="A644" t="s">
        <v>1406</v>
      </c>
      <c r="B644">
        <v>53.77</v>
      </c>
      <c r="C644">
        <v>53.88</v>
      </c>
      <c r="D644">
        <v>54.12</v>
      </c>
      <c r="E644">
        <v>53.44</v>
      </c>
      <c r="F644" t="s">
        <v>1190</v>
      </c>
      <c r="G644" s="50">
        <v>-1.5E-3</v>
      </c>
    </row>
    <row r="645" spans="1:7" x14ac:dyDescent="0.25">
      <c r="A645" t="s">
        <v>1407</v>
      </c>
      <c r="B645">
        <v>53.85</v>
      </c>
      <c r="C645">
        <v>54.02</v>
      </c>
      <c r="D645">
        <v>54.22</v>
      </c>
      <c r="E645">
        <v>53.51</v>
      </c>
      <c r="F645" t="s">
        <v>1408</v>
      </c>
      <c r="G645" s="50">
        <v>3.5000000000000001E-3</v>
      </c>
    </row>
    <row r="646" spans="1:7" x14ac:dyDescent="0.25">
      <c r="A646" t="s">
        <v>1409</v>
      </c>
      <c r="B646">
        <v>53.66</v>
      </c>
      <c r="C646">
        <v>53.93</v>
      </c>
      <c r="D646">
        <v>54.13</v>
      </c>
      <c r="E646">
        <v>53.35</v>
      </c>
      <c r="F646" t="s">
        <v>1410</v>
      </c>
      <c r="G646" s="50">
        <v>-3.8999999999999998E-3</v>
      </c>
    </row>
    <row r="647" spans="1:7" x14ac:dyDescent="0.25">
      <c r="A647" t="s">
        <v>1411</v>
      </c>
      <c r="B647">
        <v>53.87</v>
      </c>
      <c r="C647">
        <v>53.96</v>
      </c>
      <c r="D647">
        <v>54.09</v>
      </c>
      <c r="E647">
        <v>53.65</v>
      </c>
      <c r="F647" t="s">
        <v>1412</v>
      </c>
      <c r="G647" s="50">
        <v>-8.9999999999999998E-4</v>
      </c>
    </row>
    <row r="648" spans="1:7" x14ac:dyDescent="0.25">
      <c r="A648" t="s">
        <v>1413</v>
      </c>
      <c r="B648">
        <v>53.92</v>
      </c>
      <c r="C648">
        <v>53.35</v>
      </c>
      <c r="D648">
        <v>53.96</v>
      </c>
      <c r="E648">
        <v>53.25</v>
      </c>
      <c r="F648" t="s">
        <v>411</v>
      </c>
      <c r="G648" s="50">
        <v>8.8000000000000005E-3</v>
      </c>
    </row>
    <row r="649" spans="1:7" x14ac:dyDescent="0.25">
      <c r="A649" t="s">
        <v>1414</v>
      </c>
      <c r="B649">
        <v>53.45</v>
      </c>
      <c r="C649">
        <v>52.99</v>
      </c>
      <c r="D649">
        <v>53.74</v>
      </c>
      <c r="E649">
        <v>52.74</v>
      </c>
      <c r="F649" t="s">
        <v>1415</v>
      </c>
      <c r="G649" s="50">
        <v>7.1999999999999998E-3</v>
      </c>
    </row>
    <row r="650" spans="1:7" x14ac:dyDescent="0.25">
      <c r="A650" t="s">
        <v>1416</v>
      </c>
      <c r="B650">
        <v>53.07</v>
      </c>
      <c r="C650">
        <v>53.4</v>
      </c>
      <c r="D650">
        <v>53.47</v>
      </c>
      <c r="E650">
        <v>52.58</v>
      </c>
      <c r="F650" t="s">
        <v>795</v>
      </c>
      <c r="G650" s="50">
        <v>-7.1000000000000004E-3</v>
      </c>
    </row>
    <row r="651" spans="1:7" x14ac:dyDescent="0.25">
      <c r="A651" t="s">
        <v>1417</v>
      </c>
      <c r="B651">
        <v>53.45</v>
      </c>
      <c r="C651">
        <v>53.66</v>
      </c>
      <c r="D651">
        <v>53.85</v>
      </c>
      <c r="E651">
        <v>53.22</v>
      </c>
      <c r="F651" t="s">
        <v>1418</v>
      </c>
      <c r="G651" s="50">
        <v>-3.7000000000000002E-3</v>
      </c>
    </row>
    <row r="652" spans="1:7" x14ac:dyDescent="0.25">
      <c r="A652" t="s">
        <v>1419</v>
      </c>
      <c r="B652">
        <v>53.65</v>
      </c>
      <c r="C652">
        <v>53.86</v>
      </c>
      <c r="D652">
        <v>53.89</v>
      </c>
      <c r="E652">
        <v>53.35</v>
      </c>
      <c r="F652" t="s">
        <v>1197</v>
      </c>
      <c r="G652" s="50">
        <v>-1.3599999999999999E-2</v>
      </c>
    </row>
    <row r="653" spans="1:7" x14ac:dyDescent="0.25">
      <c r="A653" t="s">
        <v>1420</v>
      </c>
      <c r="B653">
        <v>54.39</v>
      </c>
      <c r="C653">
        <v>53.84</v>
      </c>
      <c r="D653">
        <v>54.4</v>
      </c>
      <c r="E653">
        <v>53.81</v>
      </c>
      <c r="F653" t="s">
        <v>1421</v>
      </c>
      <c r="G653" s="50">
        <v>1.17E-2</v>
      </c>
    </row>
    <row r="654" spans="1:7" x14ac:dyDescent="0.25">
      <c r="A654" t="s">
        <v>1422</v>
      </c>
      <c r="B654">
        <v>53.76</v>
      </c>
      <c r="C654">
        <v>54.16</v>
      </c>
      <c r="D654">
        <v>54.2</v>
      </c>
      <c r="E654">
        <v>53.5</v>
      </c>
      <c r="F654" t="s">
        <v>407</v>
      </c>
      <c r="G654" s="50">
        <v>-2.2000000000000001E-3</v>
      </c>
    </row>
    <row r="655" spans="1:7" x14ac:dyDescent="0.25">
      <c r="A655" t="s">
        <v>1423</v>
      </c>
      <c r="B655">
        <v>53.88</v>
      </c>
      <c r="C655">
        <v>53.37</v>
      </c>
      <c r="D655">
        <v>54.19</v>
      </c>
      <c r="E655">
        <v>53.35</v>
      </c>
      <c r="F655" t="s">
        <v>1424</v>
      </c>
      <c r="G655" s="50">
        <v>1.2800000000000001E-2</v>
      </c>
    </row>
    <row r="656" spans="1:7" x14ac:dyDescent="0.25">
      <c r="A656" t="s">
        <v>1425</v>
      </c>
      <c r="B656">
        <v>53.2</v>
      </c>
      <c r="C656">
        <v>52.89</v>
      </c>
      <c r="D656">
        <v>53.37</v>
      </c>
      <c r="E656">
        <v>52.53</v>
      </c>
      <c r="F656" t="s">
        <v>1426</v>
      </c>
      <c r="G656" s="50">
        <v>9.2999999999999992E-3</v>
      </c>
    </row>
    <row r="657" spans="1:7" x14ac:dyDescent="0.25">
      <c r="A657" t="s">
        <v>1427</v>
      </c>
      <c r="B657">
        <v>52.71</v>
      </c>
      <c r="C657">
        <v>53.18</v>
      </c>
      <c r="D657">
        <v>53.29</v>
      </c>
      <c r="E657">
        <v>52.58</v>
      </c>
      <c r="F657" t="s">
        <v>1025</v>
      </c>
      <c r="G657" s="50">
        <v>-1.44E-2</v>
      </c>
    </row>
    <row r="658" spans="1:7" x14ac:dyDescent="0.25">
      <c r="A658" t="s">
        <v>1428</v>
      </c>
      <c r="B658">
        <v>53.48</v>
      </c>
      <c r="C658">
        <v>53.46</v>
      </c>
      <c r="D658">
        <v>53.68</v>
      </c>
      <c r="E658">
        <v>53.16</v>
      </c>
      <c r="F658" t="s">
        <v>1429</v>
      </c>
      <c r="G658" s="50">
        <v>-1.6999999999999999E-3</v>
      </c>
    </row>
    <row r="659" spans="1:7" x14ac:dyDescent="0.25">
      <c r="A659" t="s">
        <v>1430</v>
      </c>
      <c r="B659">
        <v>53.57</v>
      </c>
      <c r="C659">
        <v>53.4</v>
      </c>
      <c r="D659">
        <v>53.83</v>
      </c>
      <c r="E659">
        <v>53.2</v>
      </c>
      <c r="F659" t="s">
        <v>1431</v>
      </c>
      <c r="G659" s="50">
        <v>4.3E-3</v>
      </c>
    </row>
    <row r="660" spans="1:7" x14ac:dyDescent="0.25">
      <c r="A660" t="s">
        <v>1432</v>
      </c>
      <c r="B660">
        <v>53.34</v>
      </c>
      <c r="C660">
        <v>53.41</v>
      </c>
      <c r="D660">
        <v>54.1</v>
      </c>
      <c r="E660">
        <v>52.85</v>
      </c>
      <c r="F660" t="s">
        <v>1433</v>
      </c>
      <c r="G660" s="50">
        <v>-3.8899999999999997E-2</v>
      </c>
    </row>
    <row r="661" spans="1:7" x14ac:dyDescent="0.25">
      <c r="A661" t="s">
        <v>1434</v>
      </c>
      <c r="B661">
        <v>55.5</v>
      </c>
      <c r="C661">
        <v>55.95</v>
      </c>
      <c r="D661">
        <v>56.05</v>
      </c>
      <c r="E661">
        <v>55.44</v>
      </c>
      <c r="F661" t="s">
        <v>1435</v>
      </c>
      <c r="G661" s="50">
        <v>-6.1000000000000004E-3</v>
      </c>
    </row>
    <row r="662" spans="1:7" x14ac:dyDescent="0.25">
      <c r="A662" t="s">
        <v>1436</v>
      </c>
      <c r="B662">
        <v>55.84</v>
      </c>
      <c r="C662">
        <v>56.18</v>
      </c>
      <c r="D662">
        <v>56.21</v>
      </c>
      <c r="E662">
        <v>55.46</v>
      </c>
      <c r="F662" t="s">
        <v>1437</v>
      </c>
      <c r="G662" s="50">
        <v>-4.7999999999999996E-3</v>
      </c>
    </row>
    <row r="663" spans="1:7" x14ac:dyDescent="0.25">
      <c r="A663" t="s">
        <v>1438</v>
      </c>
      <c r="B663">
        <v>56.11</v>
      </c>
      <c r="C663">
        <v>56.01</v>
      </c>
      <c r="D663">
        <v>56.28</v>
      </c>
      <c r="E663">
        <v>55.83</v>
      </c>
      <c r="F663" t="s">
        <v>1439</v>
      </c>
      <c r="G663" s="50">
        <v>1.1999999999999999E-3</v>
      </c>
    </row>
    <row r="664" spans="1:7" x14ac:dyDescent="0.25">
      <c r="A664" t="s">
        <v>1440</v>
      </c>
      <c r="B664">
        <v>56.04</v>
      </c>
      <c r="C664">
        <v>56.31</v>
      </c>
      <c r="D664">
        <v>56.39</v>
      </c>
      <c r="E664">
        <v>55.54</v>
      </c>
      <c r="F664" t="s">
        <v>1441</v>
      </c>
      <c r="G664" s="50">
        <v>-5.8999999999999999E-3</v>
      </c>
    </row>
    <row r="665" spans="1:7" x14ac:dyDescent="0.25">
      <c r="A665" t="s">
        <v>1442</v>
      </c>
      <c r="B665">
        <v>56.37</v>
      </c>
      <c r="C665">
        <v>56.42</v>
      </c>
      <c r="D665">
        <v>56.47</v>
      </c>
      <c r="E665">
        <v>56.08</v>
      </c>
      <c r="F665" t="s">
        <v>501</v>
      </c>
      <c r="G665" s="50">
        <v>1.6000000000000001E-3</v>
      </c>
    </row>
    <row r="666" spans="1:7" x14ac:dyDescent="0.25">
      <c r="A666" t="s">
        <v>1443</v>
      </c>
      <c r="B666">
        <v>56.28</v>
      </c>
      <c r="C666">
        <v>56.32</v>
      </c>
      <c r="D666">
        <v>56.53</v>
      </c>
      <c r="E666">
        <v>56.08</v>
      </c>
      <c r="F666" t="s">
        <v>1401</v>
      </c>
      <c r="G666" s="50">
        <v>-2E-3</v>
      </c>
    </row>
    <row r="667" spans="1:7" x14ac:dyDescent="0.25">
      <c r="A667" t="s">
        <v>1444</v>
      </c>
      <c r="B667">
        <v>56.39</v>
      </c>
      <c r="C667">
        <v>56.65</v>
      </c>
      <c r="D667">
        <v>56.86</v>
      </c>
      <c r="E667">
        <v>56.34</v>
      </c>
      <c r="F667" t="s">
        <v>1445</v>
      </c>
      <c r="G667" s="50">
        <v>-7.9000000000000008E-3</v>
      </c>
    </row>
    <row r="668" spans="1:7" x14ac:dyDescent="0.25">
      <c r="A668" t="s">
        <v>1446</v>
      </c>
      <c r="B668">
        <v>56.84</v>
      </c>
      <c r="C668">
        <v>56.72</v>
      </c>
      <c r="D668">
        <v>56.97</v>
      </c>
      <c r="E668">
        <v>56.44</v>
      </c>
      <c r="F668" t="s">
        <v>1447</v>
      </c>
      <c r="G668" s="50">
        <v>3.0000000000000001E-3</v>
      </c>
    </row>
    <row r="669" spans="1:7" x14ac:dyDescent="0.25">
      <c r="A669" t="s">
        <v>1448</v>
      </c>
      <c r="B669">
        <v>56.67</v>
      </c>
      <c r="C669">
        <v>56.76</v>
      </c>
      <c r="D669">
        <v>57.07</v>
      </c>
      <c r="E669">
        <v>56.56</v>
      </c>
      <c r="F669" t="s">
        <v>1310</v>
      </c>
      <c r="G669" s="50">
        <v>-2.0999999999999999E-3</v>
      </c>
    </row>
    <row r="670" spans="1:7" x14ac:dyDescent="0.25">
      <c r="A670" t="s">
        <v>1449</v>
      </c>
      <c r="B670">
        <v>56.79</v>
      </c>
      <c r="C670">
        <v>56.97</v>
      </c>
      <c r="D670">
        <v>57.09</v>
      </c>
      <c r="E670">
        <v>56.66</v>
      </c>
      <c r="F670" t="s">
        <v>717</v>
      </c>
      <c r="G670" s="50">
        <v>-6.4999999999999997E-3</v>
      </c>
    </row>
    <row r="671" spans="1:7" x14ac:dyDescent="0.25">
      <c r="A671" t="s">
        <v>1450</v>
      </c>
      <c r="B671">
        <v>57.16</v>
      </c>
      <c r="C671">
        <v>57.1</v>
      </c>
      <c r="D671">
        <v>57.47</v>
      </c>
      <c r="E671">
        <v>57.07</v>
      </c>
      <c r="F671" t="s">
        <v>1451</v>
      </c>
      <c r="G671" s="50">
        <v>-1.6999999999999999E-3</v>
      </c>
    </row>
    <row r="672" spans="1:7" x14ac:dyDescent="0.25">
      <c r="A672" t="s">
        <v>1452</v>
      </c>
      <c r="B672">
        <v>57.26</v>
      </c>
      <c r="C672">
        <v>57.82</v>
      </c>
      <c r="D672">
        <v>57.82</v>
      </c>
      <c r="E672">
        <v>57.23</v>
      </c>
      <c r="F672" t="s">
        <v>572</v>
      </c>
      <c r="G672" s="50">
        <v>-0.01</v>
      </c>
    </row>
    <row r="673" spans="1:7" x14ac:dyDescent="0.25">
      <c r="A673" t="s">
        <v>1453</v>
      </c>
      <c r="B673">
        <v>57.84</v>
      </c>
      <c r="C673">
        <v>57.39</v>
      </c>
      <c r="D673">
        <v>58.19</v>
      </c>
      <c r="E673">
        <v>57.39</v>
      </c>
      <c r="F673" t="s">
        <v>713</v>
      </c>
      <c r="G673" s="50">
        <v>8.5000000000000006E-3</v>
      </c>
    </row>
    <row r="674" spans="1:7" x14ac:dyDescent="0.25">
      <c r="A674" t="s">
        <v>1454</v>
      </c>
      <c r="B674">
        <v>57.35</v>
      </c>
      <c r="C674">
        <v>57.1</v>
      </c>
      <c r="D674">
        <v>57.53</v>
      </c>
      <c r="E674">
        <v>56.89</v>
      </c>
      <c r="F674" t="s">
        <v>1455</v>
      </c>
      <c r="G674" s="50">
        <v>9.4999999999999998E-3</v>
      </c>
    </row>
    <row r="675" spans="1:7" x14ac:dyDescent="0.25">
      <c r="A675" t="s">
        <v>1456</v>
      </c>
      <c r="B675">
        <v>56.81</v>
      </c>
      <c r="C675">
        <v>56.63</v>
      </c>
      <c r="D675">
        <v>56.91</v>
      </c>
      <c r="E675">
        <v>56.53</v>
      </c>
      <c r="F675" t="s">
        <v>1457</v>
      </c>
      <c r="G675" s="50">
        <v>4.4000000000000003E-3</v>
      </c>
    </row>
    <row r="676" spans="1:7" x14ac:dyDescent="0.25">
      <c r="A676" t="s">
        <v>1458</v>
      </c>
      <c r="B676">
        <v>56.56</v>
      </c>
      <c r="C676">
        <v>56.35</v>
      </c>
      <c r="D676">
        <v>56.8</v>
      </c>
      <c r="E676">
        <v>56.11</v>
      </c>
      <c r="F676" t="s">
        <v>267</v>
      </c>
      <c r="G676" s="50">
        <v>6.4000000000000003E-3</v>
      </c>
    </row>
    <row r="677" spans="1:7" x14ac:dyDescent="0.25">
      <c r="A677" t="s">
        <v>1459</v>
      </c>
      <c r="B677">
        <v>56.2</v>
      </c>
      <c r="C677">
        <v>55.89</v>
      </c>
      <c r="D677">
        <v>56.28</v>
      </c>
      <c r="E677">
        <v>55.68</v>
      </c>
      <c r="F677" t="s">
        <v>1460</v>
      </c>
      <c r="G677" s="50">
        <v>8.9999999999999993E-3</v>
      </c>
    </row>
    <row r="678" spans="1:7" x14ac:dyDescent="0.25">
      <c r="A678" t="s">
        <v>1461</v>
      </c>
      <c r="B678">
        <v>55.7</v>
      </c>
      <c r="C678">
        <v>55.25</v>
      </c>
      <c r="D678">
        <v>55.87</v>
      </c>
      <c r="E678">
        <v>55.25</v>
      </c>
      <c r="F678" t="s">
        <v>1128</v>
      </c>
      <c r="G678" s="50">
        <v>8.3000000000000001E-3</v>
      </c>
    </row>
    <row r="679" spans="1:7" x14ac:dyDescent="0.25">
      <c r="A679" t="s">
        <v>1462</v>
      </c>
      <c r="B679">
        <v>55.24</v>
      </c>
      <c r="C679">
        <v>56.32</v>
      </c>
      <c r="D679">
        <v>56.47</v>
      </c>
      <c r="E679">
        <v>55.21</v>
      </c>
      <c r="F679" t="s">
        <v>1236</v>
      </c>
      <c r="G679" s="50">
        <v>-1.32E-2</v>
      </c>
    </row>
    <row r="680" spans="1:7" x14ac:dyDescent="0.25">
      <c r="A680" t="s">
        <v>1463</v>
      </c>
      <c r="B680">
        <v>55.98</v>
      </c>
      <c r="C680">
        <v>55.61</v>
      </c>
      <c r="D680">
        <v>56.2</v>
      </c>
      <c r="E680">
        <v>55.4</v>
      </c>
      <c r="F680" t="s">
        <v>1464</v>
      </c>
      <c r="G680" s="50">
        <v>9.4000000000000004E-3</v>
      </c>
    </row>
    <row r="681" spans="1:7" x14ac:dyDescent="0.25">
      <c r="A681" t="s">
        <v>1465</v>
      </c>
      <c r="B681">
        <v>55.46</v>
      </c>
      <c r="C681">
        <v>55.48</v>
      </c>
      <c r="D681">
        <v>55.82</v>
      </c>
      <c r="E681">
        <v>55.28</v>
      </c>
      <c r="F681" t="s">
        <v>1415</v>
      </c>
      <c r="G681" s="50">
        <v>4.0000000000000002E-4</v>
      </c>
    </row>
    <row r="682" spans="1:7" x14ac:dyDescent="0.25">
      <c r="A682" t="s">
        <v>1466</v>
      </c>
      <c r="B682">
        <v>55.44</v>
      </c>
      <c r="C682">
        <v>55.2</v>
      </c>
      <c r="D682">
        <v>55.79</v>
      </c>
      <c r="E682">
        <v>55.15</v>
      </c>
      <c r="F682" t="s">
        <v>1467</v>
      </c>
      <c r="G682" s="50">
        <v>7.3000000000000001E-3</v>
      </c>
    </row>
    <row r="683" spans="1:7" x14ac:dyDescent="0.25">
      <c r="A683" t="s">
        <v>1468</v>
      </c>
      <c r="B683">
        <v>55.04</v>
      </c>
      <c r="C683">
        <v>54.63</v>
      </c>
      <c r="D683">
        <v>55.46</v>
      </c>
      <c r="E683">
        <v>54.62</v>
      </c>
      <c r="F683" t="s">
        <v>1469</v>
      </c>
      <c r="G683" s="50">
        <v>5.7000000000000002E-3</v>
      </c>
    </row>
    <row r="684" spans="1:7" x14ac:dyDescent="0.25">
      <c r="A684" t="s">
        <v>1470</v>
      </c>
      <c r="B684">
        <v>54.73</v>
      </c>
      <c r="C684">
        <v>54.44</v>
      </c>
      <c r="D684">
        <v>55.83</v>
      </c>
      <c r="E684">
        <v>54.37</v>
      </c>
      <c r="F684" t="s">
        <v>1471</v>
      </c>
      <c r="G684" s="50">
        <v>3.3399999999999999E-2</v>
      </c>
    </row>
    <row r="685" spans="1:7" x14ac:dyDescent="0.25">
      <c r="A685" t="s">
        <v>1472</v>
      </c>
      <c r="B685">
        <v>52.96</v>
      </c>
      <c r="C685">
        <v>53.19</v>
      </c>
      <c r="D685">
        <v>53.52</v>
      </c>
      <c r="E685">
        <v>52.87</v>
      </c>
      <c r="F685" t="s">
        <v>1473</v>
      </c>
      <c r="G685" s="50">
        <v>-7.3000000000000001E-3</v>
      </c>
    </row>
    <row r="686" spans="1:7" x14ac:dyDescent="0.25">
      <c r="A686" t="s">
        <v>1474</v>
      </c>
      <c r="B686">
        <v>53.35</v>
      </c>
      <c r="C686">
        <v>53.62</v>
      </c>
      <c r="D686">
        <v>53.73</v>
      </c>
      <c r="E686">
        <v>53.18</v>
      </c>
      <c r="F686" t="s">
        <v>1066</v>
      </c>
      <c r="G686" s="50">
        <v>-9.7999999999999997E-3</v>
      </c>
    </row>
    <row r="687" spans="1:7" x14ac:dyDescent="0.25">
      <c r="A687" t="s">
        <v>1475</v>
      </c>
      <c r="B687">
        <v>53.88</v>
      </c>
      <c r="C687">
        <v>53.8</v>
      </c>
      <c r="D687">
        <v>54.13</v>
      </c>
      <c r="E687">
        <v>53.72</v>
      </c>
      <c r="F687" t="s">
        <v>1476</v>
      </c>
      <c r="G687" s="50">
        <v>1.6999999999999999E-3</v>
      </c>
    </row>
    <row r="688" spans="1:7" x14ac:dyDescent="0.25">
      <c r="A688" t="s">
        <v>1477</v>
      </c>
      <c r="B688">
        <v>53.79</v>
      </c>
      <c r="C688">
        <v>53.35</v>
      </c>
      <c r="D688">
        <v>53.94</v>
      </c>
      <c r="E688">
        <v>53.19</v>
      </c>
      <c r="F688" t="s">
        <v>1478</v>
      </c>
      <c r="G688" s="50">
        <v>7.9000000000000008E-3</v>
      </c>
    </row>
    <row r="689" spans="1:7" x14ac:dyDescent="0.25">
      <c r="A689" t="s">
        <v>1479</v>
      </c>
      <c r="B689">
        <v>53.37</v>
      </c>
      <c r="C689">
        <v>53.41</v>
      </c>
      <c r="D689">
        <v>54.14</v>
      </c>
      <c r="E689">
        <v>53.17</v>
      </c>
      <c r="F689" t="s">
        <v>401</v>
      </c>
      <c r="G689" s="50">
        <v>7.1999999999999998E-3</v>
      </c>
    </row>
    <row r="690" spans="1:7" x14ac:dyDescent="0.25">
      <c r="A690" t="s">
        <v>1480</v>
      </c>
      <c r="B690">
        <v>52.99</v>
      </c>
      <c r="C690">
        <v>52.9</v>
      </c>
      <c r="D690">
        <v>53.45</v>
      </c>
      <c r="E690">
        <v>52.66</v>
      </c>
      <c r="F690" t="s">
        <v>1327</v>
      </c>
      <c r="G690" s="50">
        <v>-1.2999999999999999E-3</v>
      </c>
    </row>
    <row r="691" spans="1:7" x14ac:dyDescent="0.25">
      <c r="A691" t="s">
        <v>1481</v>
      </c>
      <c r="B691">
        <v>53.06</v>
      </c>
      <c r="C691">
        <v>52.66</v>
      </c>
      <c r="D691">
        <v>53.13</v>
      </c>
      <c r="E691">
        <v>52.35</v>
      </c>
      <c r="F691" t="s">
        <v>1435</v>
      </c>
      <c r="G691" s="50">
        <v>8.9999999999999998E-4</v>
      </c>
    </row>
    <row r="692" spans="1:7" x14ac:dyDescent="0.25">
      <c r="A692" t="s">
        <v>1482</v>
      </c>
      <c r="B692">
        <v>53.01</v>
      </c>
      <c r="C692">
        <v>52.97</v>
      </c>
      <c r="D692">
        <v>53.06</v>
      </c>
      <c r="E692">
        <v>52.68</v>
      </c>
      <c r="F692" t="s">
        <v>1483</v>
      </c>
      <c r="G692" s="50">
        <v>7.1999999999999998E-3</v>
      </c>
    </row>
    <row r="693" spans="1:7" x14ac:dyDescent="0.25">
      <c r="A693" t="s">
        <v>1484</v>
      </c>
      <c r="B693">
        <v>52.63</v>
      </c>
      <c r="C693">
        <v>52.88</v>
      </c>
      <c r="D693">
        <v>53.32</v>
      </c>
      <c r="E693">
        <v>52.54</v>
      </c>
      <c r="F693" t="s">
        <v>1485</v>
      </c>
      <c r="G693" s="50">
        <v>-9.7999999999999997E-3</v>
      </c>
    </row>
    <row r="694" spans="1:7" x14ac:dyDescent="0.25">
      <c r="A694" t="s">
        <v>1486</v>
      </c>
      <c r="B694">
        <v>53.15</v>
      </c>
      <c r="C694">
        <v>52.49</v>
      </c>
      <c r="D694">
        <v>53.27</v>
      </c>
      <c r="E694">
        <v>52.24</v>
      </c>
      <c r="F694" t="s">
        <v>1460</v>
      </c>
      <c r="G694" s="50">
        <v>1.0800000000000001E-2</v>
      </c>
    </row>
    <row r="695" spans="1:7" x14ac:dyDescent="0.25">
      <c r="A695" t="s">
        <v>1487</v>
      </c>
      <c r="B695">
        <v>52.58</v>
      </c>
      <c r="C695">
        <v>52.38</v>
      </c>
      <c r="D695">
        <v>53.11</v>
      </c>
      <c r="E695">
        <v>52.32</v>
      </c>
      <c r="F695" t="s">
        <v>1488</v>
      </c>
      <c r="G695" s="50">
        <v>-1.5E-3</v>
      </c>
    </row>
    <row r="696" spans="1:7" x14ac:dyDescent="0.25">
      <c r="A696" t="s">
        <v>1489</v>
      </c>
      <c r="B696">
        <v>52.66</v>
      </c>
      <c r="C696">
        <v>52.57</v>
      </c>
      <c r="D696">
        <v>52.78</v>
      </c>
      <c r="E696">
        <v>52.31</v>
      </c>
      <c r="F696" t="s">
        <v>1490</v>
      </c>
      <c r="G696" s="50">
        <v>1.1900000000000001E-2</v>
      </c>
    </row>
    <row r="697" spans="1:7" x14ac:dyDescent="0.25">
      <c r="A697" s="38" t="s">
        <v>1491</v>
      </c>
      <c r="B697" s="38">
        <v>52.04</v>
      </c>
      <c r="C697">
        <v>51.84</v>
      </c>
      <c r="D697">
        <v>52.18</v>
      </c>
      <c r="E697">
        <v>51.74</v>
      </c>
      <c r="F697" t="s">
        <v>1492</v>
      </c>
      <c r="G697" s="50">
        <v>-1E-3</v>
      </c>
    </row>
    <row r="698" spans="1:7" x14ac:dyDescent="0.25">
      <c r="A698" t="s">
        <v>1493</v>
      </c>
      <c r="B698">
        <v>52.09</v>
      </c>
      <c r="C698">
        <v>52.06</v>
      </c>
      <c r="D698">
        <v>52.42</v>
      </c>
      <c r="E698">
        <v>51.77</v>
      </c>
      <c r="F698" t="s">
        <v>1494</v>
      </c>
      <c r="G698" s="50">
        <v>-1.72E-2</v>
      </c>
    </row>
    <row r="699" spans="1:7" x14ac:dyDescent="0.25">
      <c r="A699" t="s">
        <v>1495</v>
      </c>
      <c r="B699">
        <v>53</v>
      </c>
      <c r="C699">
        <v>53.6</v>
      </c>
      <c r="D699">
        <v>53.88</v>
      </c>
      <c r="E699">
        <v>52.85</v>
      </c>
      <c r="F699" t="s">
        <v>1496</v>
      </c>
      <c r="G699" s="50">
        <v>-4.1000000000000003E-3</v>
      </c>
    </row>
    <row r="700" spans="1:7" x14ac:dyDescent="0.25">
      <c r="A700" t="s">
        <v>1497</v>
      </c>
      <c r="B700">
        <v>53.22</v>
      </c>
      <c r="C700">
        <v>53.54</v>
      </c>
      <c r="D700">
        <v>53.65</v>
      </c>
      <c r="E700">
        <v>52.96</v>
      </c>
      <c r="F700" t="s">
        <v>1498</v>
      </c>
      <c r="G700" s="50">
        <v>-7.1000000000000004E-3</v>
      </c>
    </row>
    <row r="701" spans="1:7" x14ac:dyDescent="0.25">
      <c r="A701" t="s">
        <v>1499</v>
      </c>
      <c r="B701">
        <v>53.6</v>
      </c>
      <c r="C701">
        <v>53.19</v>
      </c>
      <c r="D701">
        <v>53.76</v>
      </c>
      <c r="E701">
        <v>53.11</v>
      </c>
      <c r="F701" t="s">
        <v>874</v>
      </c>
      <c r="G701" s="50">
        <v>9.1999999999999998E-3</v>
      </c>
    </row>
    <row r="702" spans="1:7" x14ac:dyDescent="0.25">
      <c r="A702" t="s">
        <v>1500</v>
      </c>
      <c r="B702">
        <v>53.11</v>
      </c>
      <c r="C702">
        <v>52.69</v>
      </c>
      <c r="D702">
        <v>53.31</v>
      </c>
      <c r="E702">
        <v>52.67</v>
      </c>
      <c r="F702" t="s">
        <v>1501</v>
      </c>
      <c r="G702" s="50">
        <v>9.1000000000000004E-3</v>
      </c>
    </row>
    <row r="703" spans="1:7" x14ac:dyDescent="0.25">
      <c r="A703" t="s">
        <v>1502</v>
      </c>
      <c r="B703">
        <v>52.63</v>
      </c>
      <c r="C703">
        <v>52.74</v>
      </c>
      <c r="D703">
        <v>52.99</v>
      </c>
      <c r="E703">
        <v>52.53</v>
      </c>
      <c r="F703" t="s">
        <v>1503</v>
      </c>
      <c r="G703" s="50">
        <v>5.0000000000000001E-3</v>
      </c>
    </row>
    <row r="704" spans="1:7" x14ac:dyDescent="0.25">
      <c r="A704" t="s">
        <v>1504</v>
      </c>
      <c r="B704">
        <v>52.37</v>
      </c>
      <c r="C704">
        <v>52.06</v>
      </c>
      <c r="D704">
        <v>52.87</v>
      </c>
      <c r="E704">
        <v>51.92</v>
      </c>
      <c r="F704" t="s">
        <v>729</v>
      </c>
      <c r="G704" s="50">
        <v>-1.1000000000000001E-3</v>
      </c>
    </row>
    <row r="705" spans="1:7" x14ac:dyDescent="0.25">
      <c r="A705" t="s">
        <v>1505</v>
      </c>
      <c r="B705">
        <v>52.43</v>
      </c>
      <c r="C705">
        <v>52.21</v>
      </c>
      <c r="D705">
        <v>52.44</v>
      </c>
      <c r="E705">
        <v>51.7</v>
      </c>
      <c r="F705" t="s">
        <v>1506</v>
      </c>
      <c r="G705" s="50">
        <v>2.3199999999999998E-2</v>
      </c>
    </row>
    <row r="706" spans="1:7" x14ac:dyDescent="0.25">
      <c r="A706" t="s">
        <v>1507</v>
      </c>
      <c r="B706">
        <v>51.24</v>
      </c>
      <c r="C706">
        <v>50.98</v>
      </c>
      <c r="D706">
        <v>51.37</v>
      </c>
      <c r="E706">
        <v>50.85</v>
      </c>
      <c r="F706" t="s">
        <v>1508</v>
      </c>
      <c r="G706" s="50">
        <v>8.5000000000000006E-3</v>
      </c>
    </row>
    <row r="707" spans="1:7" x14ac:dyDescent="0.25">
      <c r="A707" t="s">
        <v>1509</v>
      </c>
      <c r="B707">
        <v>50.81</v>
      </c>
      <c r="C707">
        <v>50.2</v>
      </c>
      <c r="D707">
        <v>50.95</v>
      </c>
      <c r="E707">
        <v>50.14</v>
      </c>
      <c r="F707" t="s">
        <v>874</v>
      </c>
      <c r="G707" s="50">
        <v>8.5000000000000006E-3</v>
      </c>
    </row>
    <row r="708" spans="1:7" x14ac:dyDescent="0.25">
      <c r="A708" t="s">
        <v>1510</v>
      </c>
      <c r="B708">
        <v>50.38</v>
      </c>
      <c r="C708">
        <v>50.42</v>
      </c>
      <c r="D708">
        <v>50.97</v>
      </c>
      <c r="E708">
        <v>50.06</v>
      </c>
      <c r="F708" t="s">
        <v>1511</v>
      </c>
      <c r="G708" s="50">
        <v>-2.23E-2</v>
      </c>
    </row>
    <row r="709" spans="1:7" x14ac:dyDescent="0.25">
      <c r="A709" t="s">
        <v>1512</v>
      </c>
      <c r="B709">
        <v>51.53</v>
      </c>
      <c r="C709">
        <v>50.69</v>
      </c>
      <c r="D709">
        <v>51.62</v>
      </c>
      <c r="E709">
        <v>50.65</v>
      </c>
      <c r="F709" t="s">
        <v>267</v>
      </c>
      <c r="G709" s="50">
        <v>1.5599999999999999E-2</v>
      </c>
    </row>
    <row r="710" spans="1:7" x14ac:dyDescent="0.25">
      <c r="A710" t="s">
        <v>1513</v>
      </c>
      <c r="B710">
        <v>50.74</v>
      </c>
      <c r="C710">
        <v>51.56</v>
      </c>
      <c r="D710">
        <v>51.93</v>
      </c>
      <c r="E710">
        <v>50.53</v>
      </c>
      <c r="F710" t="s">
        <v>1514</v>
      </c>
      <c r="G710" s="50">
        <v>-2.6499999999999999E-2</v>
      </c>
    </row>
    <row r="711" spans="1:7" x14ac:dyDescent="0.25">
      <c r="A711" t="s">
        <v>1515</v>
      </c>
      <c r="B711">
        <v>52.12</v>
      </c>
      <c r="C711">
        <v>51.57</v>
      </c>
      <c r="D711">
        <v>52.15</v>
      </c>
      <c r="E711">
        <v>51.54</v>
      </c>
      <c r="F711" t="s">
        <v>696</v>
      </c>
      <c r="G711" s="50">
        <v>1.4E-2</v>
      </c>
    </row>
    <row r="712" spans="1:7" x14ac:dyDescent="0.25">
      <c r="A712" t="s">
        <v>1516</v>
      </c>
      <c r="B712">
        <v>51.4</v>
      </c>
      <c r="C712">
        <v>51.07</v>
      </c>
      <c r="D712">
        <v>51.5</v>
      </c>
      <c r="E712">
        <v>51.02</v>
      </c>
      <c r="F712" t="s">
        <v>1268</v>
      </c>
      <c r="G712" s="50">
        <v>8.0000000000000002E-3</v>
      </c>
    </row>
    <row r="713" spans="1:7" x14ac:dyDescent="0.25">
      <c r="A713" t="s">
        <v>1517</v>
      </c>
      <c r="B713">
        <v>50.99</v>
      </c>
      <c r="C713">
        <v>51</v>
      </c>
      <c r="D713">
        <v>51.65</v>
      </c>
      <c r="E713">
        <v>50.74</v>
      </c>
      <c r="F713" t="s">
        <v>735</v>
      </c>
      <c r="G713" s="50">
        <v>-2.3E-3</v>
      </c>
    </row>
    <row r="714" spans="1:7" x14ac:dyDescent="0.25">
      <c r="A714" t="s">
        <v>1518</v>
      </c>
      <c r="B714">
        <v>51.11</v>
      </c>
      <c r="C714">
        <v>51.06</v>
      </c>
      <c r="D714">
        <v>51.19</v>
      </c>
      <c r="E714">
        <v>50.65</v>
      </c>
      <c r="F714" t="s">
        <v>1421</v>
      </c>
      <c r="G714" s="50">
        <v>-7.7999999999999996E-3</v>
      </c>
    </row>
    <row r="715" spans="1:7" x14ac:dyDescent="0.25">
      <c r="A715" t="s">
        <v>1519</v>
      </c>
      <c r="B715">
        <v>51.51</v>
      </c>
      <c r="C715">
        <v>50.97</v>
      </c>
      <c r="D715">
        <v>51.57</v>
      </c>
      <c r="E715">
        <v>50.92</v>
      </c>
      <c r="F715" t="s">
        <v>568</v>
      </c>
      <c r="G715" s="50">
        <v>-6.0000000000000001E-3</v>
      </c>
    </row>
    <row r="716" spans="1:7" x14ac:dyDescent="0.25">
      <c r="A716" t="s">
        <v>1520</v>
      </c>
      <c r="B716">
        <v>51.82</v>
      </c>
      <c r="C716">
        <v>51.36</v>
      </c>
      <c r="D716">
        <v>51.83</v>
      </c>
      <c r="E716">
        <v>51.33</v>
      </c>
      <c r="F716" t="s">
        <v>1521</v>
      </c>
      <c r="G716" s="50">
        <v>1.5E-3</v>
      </c>
    </row>
    <row r="717" spans="1:7" x14ac:dyDescent="0.25">
      <c r="A717" t="s">
        <v>1522</v>
      </c>
      <c r="B717">
        <v>51.74</v>
      </c>
      <c r="C717">
        <v>51.88</v>
      </c>
      <c r="D717">
        <v>52.26</v>
      </c>
      <c r="E717">
        <v>51.52</v>
      </c>
      <c r="F717" t="s">
        <v>1523</v>
      </c>
      <c r="G717" s="50">
        <v>1.03E-2</v>
      </c>
    </row>
    <row r="718" spans="1:7" x14ac:dyDescent="0.25">
      <c r="A718" t="s">
        <v>1524</v>
      </c>
      <c r="B718">
        <v>51.21</v>
      </c>
      <c r="C718">
        <v>50.86</v>
      </c>
      <c r="D718">
        <v>51.27</v>
      </c>
      <c r="E718">
        <v>50.82</v>
      </c>
      <c r="F718" t="s">
        <v>1525</v>
      </c>
      <c r="G718" s="50">
        <v>6.7000000000000002E-3</v>
      </c>
    </row>
    <row r="719" spans="1:7" x14ac:dyDescent="0.25">
      <c r="A719" t="s">
        <v>1526</v>
      </c>
      <c r="B719">
        <v>50.87</v>
      </c>
      <c r="C719">
        <v>50.78</v>
      </c>
      <c r="D719">
        <v>51.01</v>
      </c>
      <c r="E719">
        <v>50.44</v>
      </c>
      <c r="F719" t="s">
        <v>1527</v>
      </c>
      <c r="G719" s="50">
        <v>2.0000000000000001E-4</v>
      </c>
    </row>
    <row r="720" spans="1:7" x14ac:dyDescent="0.25">
      <c r="A720" t="s">
        <v>1528</v>
      </c>
      <c r="B720">
        <v>50.86</v>
      </c>
      <c r="C720">
        <v>50.31</v>
      </c>
      <c r="D720">
        <v>51.04</v>
      </c>
      <c r="E720">
        <v>50.25</v>
      </c>
      <c r="F720" t="s">
        <v>1529</v>
      </c>
      <c r="G720" s="50">
        <v>1.29E-2</v>
      </c>
    </row>
    <row r="721" spans="1:7" x14ac:dyDescent="0.25">
      <c r="A721" t="s">
        <v>1530</v>
      </c>
      <c r="B721">
        <v>50.21</v>
      </c>
      <c r="C721">
        <v>50.31</v>
      </c>
      <c r="D721">
        <v>50.8</v>
      </c>
      <c r="E721">
        <v>50.18</v>
      </c>
      <c r="F721" t="s">
        <v>1531</v>
      </c>
      <c r="G721" s="50">
        <v>-2.3999999999999998E-3</v>
      </c>
    </row>
    <row r="722" spans="1:7" x14ac:dyDescent="0.25">
      <c r="A722" t="s">
        <v>1532</v>
      </c>
      <c r="B722">
        <v>50.33</v>
      </c>
      <c r="C722">
        <v>50.64</v>
      </c>
      <c r="D722">
        <v>50.72</v>
      </c>
      <c r="E722">
        <v>50.09</v>
      </c>
      <c r="F722" t="s">
        <v>1106</v>
      </c>
      <c r="G722" s="50">
        <v>-1.55E-2</v>
      </c>
    </row>
    <row r="723" spans="1:7" x14ac:dyDescent="0.25">
      <c r="A723" t="s">
        <v>1533</v>
      </c>
      <c r="B723">
        <v>51.12</v>
      </c>
      <c r="C723">
        <v>50.65</v>
      </c>
      <c r="D723">
        <v>51.14</v>
      </c>
      <c r="E723">
        <v>50.43</v>
      </c>
      <c r="F723" t="s">
        <v>696</v>
      </c>
      <c r="G723" s="50">
        <v>5.3E-3</v>
      </c>
    </row>
    <row r="724" spans="1:7" x14ac:dyDescent="0.25">
      <c r="A724" t="s">
        <v>1534</v>
      </c>
      <c r="B724">
        <v>50.85</v>
      </c>
      <c r="C724">
        <v>51.38</v>
      </c>
      <c r="D724">
        <v>51.4</v>
      </c>
      <c r="E724">
        <v>50.82</v>
      </c>
      <c r="F724" t="s">
        <v>1535</v>
      </c>
      <c r="G724" s="50">
        <v>-1.3599999999999999E-2</v>
      </c>
    </row>
    <row r="725" spans="1:7" x14ac:dyDescent="0.25">
      <c r="A725" t="s">
        <v>1536</v>
      </c>
      <c r="B725">
        <v>51.55</v>
      </c>
      <c r="C725">
        <v>51.94</v>
      </c>
      <c r="D725">
        <v>52.08</v>
      </c>
      <c r="E725">
        <v>51.47</v>
      </c>
      <c r="F725" t="s">
        <v>1186</v>
      </c>
      <c r="G725" s="50">
        <v>-0.01</v>
      </c>
    </row>
    <row r="726" spans="1:7" x14ac:dyDescent="0.25">
      <c r="A726" t="s">
        <v>1537</v>
      </c>
      <c r="B726">
        <v>52.07</v>
      </c>
      <c r="C726">
        <v>52.2</v>
      </c>
      <c r="D726">
        <v>52.4</v>
      </c>
      <c r="E726">
        <v>51.93</v>
      </c>
      <c r="F726" t="s">
        <v>1538</v>
      </c>
      <c r="G726" s="50">
        <v>2.7000000000000001E-3</v>
      </c>
    </row>
    <row r="727" spans="1:7" x14ac:dyDescent="0.25">
      <c r="A727" t="s">
        <v>1539</v>
      </c>
      <c r="B727">
        <v>51.93</v>
      </c>
      <c r="C727">
        <v>50.9</v>
      </c>
      <c r="D727">
        <v>52.07</v>
      </c>
      <c r="E727">
        <v>50.83</v>
      </c>
      <c r="F727" t="s">
        <v>1540</v>
      </c>
      <c r="G727" s="50">
        <v>1.9E-2</v>
      </c>
    </row>
    <row r="728" spans="1:7" x14ac:dyDescent="0.25">
      <c r="A728" t="s">
        <v>1541</v>
      </c>
      <c r="B728">
        <v>50.96</v>
      </c>
      <c r="C728">
        <v>50.8</v>
      </c>
      <c r="D728">
        <v>51.22</v>
      </c>
      <c r="E728">
        <v>50.63</v>
      </c>
      <c r="F728" t="s">
        <v>1542</v>
      </c>
      <c r="G728" s="50">
        <v>3.0999999999999999E-3</v>
      </c>
    </row>
    <row r="729" spans="1:7" x14ac:dyDescent="0.25">
      <c r="A729" t="s">
        <v>1543</v>
      </c>
      <c r="B729">
        <v>50.8</v>
      </c>
      <c r="C729">
        <v>50.69</v>
      </c>
      <c r="D729">
        <v>50.94</v>
      </c>
      <c r="E729">
        <v>50.45</v>
      </c>
      <c r="F729" t="s">
        <v>1544</v>
      </c>
      <c r="G729" s="50">
        <v>6.3E-3</v>
      </c>
    </row>
    <row r="730" spans="1:7" x14ac:dyDescent="0.25">
      <c r="A730" t="s">
        <v>1545</v>
      </c>
      <c r="B730">
        <v>50.48</v>
      </c>
      <c r="C730">
        <v>49.92</v>
      </c>
      <c r="D730">
        <v>50.51</v>
      </c>
      <c r="E730">
        <v>49.67</v>
      </c>
      <c r="F730" t="s">
        <v>1546</v>
      </c>
      <c r="G730" s="50">
        <v>1.6500000000000001E-2</v>
      </c>
    </row>
    <row r="731" spans="1:7" x14ac:dyDescent="0.25">
      <c r="A731" t="s">
        <v>1547</v>
      </c>
      <c r="B731">
        <v>49.66</v>
      </c>
      <c r="C731">
        <v>49.53</v>
      </c>
      <c r="D731">
        <v>49.97</v>
      </c>
      <c r="E731">
        <v>49.37</v>
      </c>
      <c r="F731" t="s">
        <v>1548</v>
      </c>
      <c r="G731" s="50">
        <v>-4.0000000000000002E-4</v>
      </c>
    </row>
    <row r="732" spans="1:7" x14ac:dyDescent="0.25">
      <c r="A732" t="s">
        <v>1549</v>
      </c>
      <c r="B732">
        <v>49.68</v>
      </c>
      <c r="C732">
        <v>49.92</v>
      </c>
      <c r="D732">
        <v>50</v>
      </c>
      <c r="E732">
        <v>49.57</v>
      </c>
      <c r="F732" t="s">
        <v>1550</v>
      </c>
      <c r="G732" s="50">
        <v>-2E-3</v>
      </c>
    </row>
    <row r="733" spans="1:7" x14ac:dyDescent="0.25">
      <c r="A733" t="s">
        <v>1551</v>
      </c>
      <c r="B733">
        <v>49.78</v>
      </c>
      <c r="C733">
        <v>49.7</v>
      </c>
      <c r="D733">
        <v>50.14</v>
      </c>
      <c r="E733">
        <v>49.65</v>
      </c>
      <c r="F733" t="s">
        <v>1552</v>
      </c>
      <c r="G733" s="50">
        <v>-5.9999999999999995E-4</v>
      </c>
    </row>
    <row r="734" spans="1:7" x14ac:dyDescent="0.25">
      <c r="A734" t="s">
        <v>1553</v>
      </c>
      <c r="B734">
        <v>49.81</v>
      </c>
      <c r="C734">
        <v>49.79</v>
      </c>
      <c r="D734">
        <v>49.91</v>
      </c>
      <c r="E734">
        <v>49.14</v>
      </c>
      <c r="F734" t="s">
        <v>1554</v>
      </c>
      <c r="G734" s="50">
        <v>-8.0000000000000002E-3</v>
      </c>
    </row>
    <row r="735" spans="1:7" x14ac:dyDescent="0.25">
      <c r="A735" t="s">
        <v>1555</v>
      </c>
      <c r="B735">
        <v>50.21</v>
      </c>
      <c r="C735">
        <v>50.22</v>
      </c>
      <c r="D735">
        <v>50.58</v>
      </c>
      <c r="E735">
        <v>50.04</v>
      </c>
      <c r="F735" t="s">
        <v>1556</v>
      </c>
      <c r="G735" s="50">
        <v>3.8E-3</v>
      </c>
    </row>
    <row r="736" spans="1:7" x14ac:dyDescent="0.25">
      <c r="A736" t="s">
        <v>1557</v>
      </c>
      <c r="B736">
        <v>50.02</v>
      </c>
      <c r="C736">
        <v>49.87</v>
      </c>
      <c r="D736">
        <v>50.25</v>
      </c>
      <c r="E736">
        <v>49.73</v>
      </c>
      <c r="F736" t="s">
        <v>1558</v>
      </c>
      <c r="G736" s="50">
        <v>5.5999999999999999E-3</v>
      </c>
    </row>
    <row r="737" spans="1:7" x14ac:dyDescent="0.25">
      <c r="A737" t="s">
        <v>1559</v>
      </c>
      <c r="B737">
        <v>49.74</v>
      </c>
      <c r="C737">
        <v>49.76</v>
      </c>
      <c r="D737">
        <v>50.08</v>
      </c>
      <c r="E737">
        <v>49.26</v>
      </c>
      <c r="F737" t="s">
        <v>1560</v>
      </c>
      <c r="G737" s="50">
        <v>1.4E-3</v>
      </c>
    </row>
    <row r="738" spans="1:7" x14ac:dyDescent="0.25">
      <c r="A738" t="s">
        <v>1561</v>
      </c>
      <c r="B738">
        <v>49.67</v>
      </c>
      <c r="C738">
        <v>49.91</v>
      </c>
      <c r="D738">
        <v>50.03</v>
      </c>
      <c r="E738">
        <v>49.6</v>
      </c>
      <c r="F738" t="s">
        <v>1562</v>
      </c>
      <c r="G738" s="50">
        <v>-0.01</v>
      </c>
    </row>
    <row r="739" spans="1:7" x14ac:dyDescent="0.25">
      <c r="A739" t="s">
        <v>1563</v>
      </c>
      <c r="B739">
        <v>50.17</v>
      </c>
      <c r="C739">
        <v>49.99</v>
      </c>
      <c r="D739">
        <v>50.49</v>
      </c>
      <c r="E739">
        <v>49.74</v>
      </c>
      <c r="F739" t="s">
        <v>1564</v>
      </c>
      <c r="G739" s="50">
        <v>6.1999999999999998E-3</v>
      </c>
    </row>
    <row r="740" spans="1:7" x14ac:dyDescent="0.25">
      <c r="A740" t="s">
        <v>1565</v>
      </c>
      <c r="B740">
        <v>49.86</v>
      </c>
      <c r="C740">
        <v>49.11</v>
      </c>
      <c r="D740">
        <v>50.09</v>
      </c>
      <c r="E740">
        <v>49.11</v>
      </c>
      <c r="F740" t="s">
        <v>1566</v>
      </c>
      <c r="G740" s="50">
        <v>1.6899999999999998E-2</v>
      </c>
    </row>
    <row r="741" spans="1:7" x14ac:dyDescent="0.25">
      <c r="A741" t="s">
        <v>1567</v>
      </c>
      <c r="B741">
        <v>49.03</v>
      </c>
      <c r="C741">
        <v>47.77</v>
      </c>
      <c r="D741">
        <v>49.23</v>
      </c>
      <c r="E741">
        <v>47.72</v>
      </c>
      <c r="F741" t="s">
        <v>1568</v>
      </c>
      <c r="G741" s="50">
        <v>1.2800000000000001E-2</v>
      </c>
    </row>
    <row r="742" spans="1:7" x14ac:dyDescent="0.25">
      <c r="A742" t="s">
        <v>1569</v>
      </c>
      <c r="B742">
        <v>48.41</v>
      </c>
      <c r="C742">
        <v>48.95</v>
      </c>
      <c r="D742">
        <v>49</v>
      </c>
      <c r="E742">
        <v>48.17</v>
      </c>
      <c r="F742" t="s">
        <v>1570</v>
      </c>
      <c r="G742" s="50">
        <v>-1.0200000000000001E-2</v>
      </c>
    </row>
    <row r="743" spans="1:7" x14ac:dyDescent="0.25">
      <c r="A743" t="s">
        <v>1571</v>
      </c>
      <c r="B743">
        <v>48.91</v>
      </c>
      <c r="C743">
        <v>48.61</v>
      </c>
      <c r="D743">
        <v>49.35</v>
      </c>
      <c r="E743">
        <v>48.6</v>
      </c>
      <c r="F743" t="s">
        <v>428</v>
      </c>
      <c r="G743" s="50">
        <v>1.8E-3</v>
      </c>
    </row>
    <row r="744" spans="1:7" x14ac:dyDescent="0.25">
      <c r="A744" t="s">
        <v>1572</v>
      </c>
      <c r="B744">
        <v>48.82</v>
      </c>
      <c r="C744">
        <v>49.11</v>
      </c>
      <c r="D744">
        <v>49.23</v>
      </c>
      <c r="E744">
        <v>48.77</v>
      </c>
      <c r="F744" t="s">
        <v>886</v>
      </c>
      <c r="G744" s="50">
        <v>-6.3E-3</v>
      </c>
    </row>
    <row r="745" spans="1:7" x14ac:dyDescent="0.25">
      <c r="A745" t="s">
        <v>1573</v>
      </c>
      <c r="B745">
        <v>49.13</v>
      </c>
      <c r="C745">
        <v>48.43</v>
      </c>
      <c r="D745">
        <v>49.34</v>
      </c>
      <c r="E745">
        <v>48.4</v>
      </c>
      <c r="F745" t="s">
        <v>1574</v>
      </c>
      <c r="G745" s="50">
        <v>1.9300000000000001E-2</v>
      </c>
    </row>
    <row r="746" spans="1:7" x14ac:dyDescent="0.25">
      <c r="A746" t="s">
        <v>1575</v>
      </c>
      <c r="B746">
        <v>48.2</v>
      </c>
      <c r="C746">
        <v>45.76</v>
      </c>
      <c r="D746">
        <v>48.24</v>
      </c>
      <c r="E746">
        <v>45.7</v>
      </c>
      <c r="F746" t="s">
        <v>1576</v>
      </c>
      <c r="G746" s="50">
        <v>1.2E-2</v>
      </c>
    </row>
    <row r="747" spans="1:7" x14ac:dyDescent="0.25">
      <c r="A747" t="s">
        <v>1577</v>
      </c>
      <c r="B747">
        <v>47.63</v>
      </c>
      <c r="C747">
        <v>47.15</v>
      </c>
      <c r="D747">
        <v>47.76</v>
      </c>
      <c r="E747">
        <v>47.01</v>
      </c>
      <c r="F747" t="s">
        <v>1578</v>
      </c>
      <c r="G747" s="50">
        <v>1.5100000000000001E-2</v>
      </c>
    </row>
    <row r="748" spans="1:7" x14ac:dyDescent="0.25">
      <c r="A748" t="s">
        <v>1579</v>
      </c>
      <c r="B748">
        <v>46.92</v>
      </c>
      <c r="C748">
        <v>47.24</v>
      </c>
      <c r="D748">
        <v>47.33</v>
      </c>
      <c r="E748">
        <v>46.8</v>
      </c>
      <c r="F748" t="s">
        <v>1580</v>
      </c>
      <c r="G748" s="50">
        <v>-3.8E-3</v>
      </c>
    </row>
    <row r="749" spans="1:7" x14ac:dyDescent="0.25">
      <c r="A749" t="s">
        <v>1581</v>
      </c>
      <c r="B749">
        <v>47.1</v>
      </c>
      <c r="C749">
        <v>46.8</v>
      </c>
      <c r="D749">
        <v>47.26</v>
      </c>
      <c r="E749">
        <v>46.56</v>
      </c>
      <c r="F749" t="s">
        <v>1582</v>
      </c>
      <c r="G749" s="50">
        <v>8.3000000000000001E-3</v>
      </c>
    </row>
    <row r="750" spans="1:7" x14ac:dyDescent="0.25">
      <c r="A750" t="s">
        <v>1583</v>
      </c>
      <c r="B750">
        <v>46.71</v>
      </c>
      <c r="C750">
        <v>46.28</v>
      </c>
      <c r="D750">
        <v>46.81</v>
      </c>
      <c r="E750">
        <v>46.28</v>
      </c>
      <c r="F750" t="s">
        <v>1584</v>
      </c>
      <c r="G750" s="50">
        <v>7.3000000000000001E-3</v>
      </c>
    </row>
    <row r="751" spans="1:7" x14ac:dyDescent="0.25">
      <c r="A751" t="s">
        <v>1585</v>
      </c>
      <c r="B751">
        <v>46.37</v>
      </c>
      <c r="C751">
        <v>46.83</v>
      </c>
      <c r="D751">
        <v>46.85</v>
      </c>
      <c r="E751">
        <v>46.2</v>
      </c>
      <c r="F751" t="s">
        <v>1252</v>
      </c>
      <c r="G751" s="50">
        <v>-7.3000000000000001E-3</v>
      </c>
    </row>
    <row r="752" spans="1:7" x14ac:dyDescent="0.25">
      <c r="A752" t="s">
        <v>1586</v>
      </c>
      <c r="B752">
        <v>46.71</v>
      </c>
      <c r="C752">
        <v>46.7</v>
      </c>
      <c r="D752">
        <v>46.93</v>
      </c>
      <c r="E752">
        <v>46.15</v>
      </c>
      <c r="F752" t="s">
        <v>1587</v>
      </c>
      <c r="G752" s="50">
        <v>5.1999999999999998E-3</v>
      </c>
    </row>
    <row r="753" spans="1:7" x14ac:dyDescent="0.25">
      <c r="A753" t="s">
        <v>1588</v>
      </c>
      <c r="B753">
        <v>46.47</v>
      </c>
      <c r="C753">
        <v>45.98</v>
      </c>
      <c r="D753">
        <v>46.51</v>
      </c>
      <c r="E753">
        <v>45.92</v>
      </c>
      <c r="F753" t="s">
        <v>1589</v>
      </c>
      <c r="G753" s="50">
        <v>2.8E-3</v>
      </c>
    </row>
    <row r="754" spans="1:7" x14ac:dyDescent="0.25">
      <c r="A754" t="s">
        <v>1590</v>
      </c>
      <c r="B754">
        <v>46.34</v>
      </c>
      <c r="C754">
        <v>46.44</v>
      </c>
      <c r="D754">
        <v>46.52</v>
      </c>
      <c r="E754">
        <v>46.09</v>
      </c>
      <c r="F754" t="s">
        <v>1591</v>
      </c>
      <c r="G754" s="50">
        <v>1.9E-3</v>
      </c>
    </row>
    <row r="755" spans="1:7" x14ac:dyDescent="0.25">
      <c r="A755" t="s">
        <v>1592</v>
      </c>
      <c r="B755">
        <v>46.25</v>
      </c>
      <c r="C755">
        <v>46.12</v>
      </c>
      <c r="D755">
        <v>46.36</v>
      </c>
      <c r="E755">
        <v>45.92</v>
      </c>
      <c r="F755" t="s">
        <v>564</v>
      </c>
      <c r="G755" s="50">
        <v>1.2E-2</v>
      </c>
    </row>
    <row r="756" spans="1:7" x14ac:dyDescent="0.25">
      <c r="A756" t="s">
        <v>1593</v>
      </c>
      <c r="B756">
        <v>45.7</v>
      </c>
      <c r="C756">
        <v>45.77</v>
      </c>
      <c r="D756">
        <v>45.93</v>
      </c>
      <c r="E756">
        <v>45.56</v>
      </c>
      <c r="F756" t="s">
        <v>1594</v>
      </c>
      <c r="G756" s="50">
        <v>-5.7000000000000002E-3</v>
      </c>
    </row>
    <row r="757" spans="1:7" x14ac:dyDescent="0.25">
      <c r="A757" t="s">
        <v>1595</v>
      </c>
      <c r="B757">
        <v>45.96</v>
      </c>
      <c r="C757">
        <v>46.42</v>
      </c>
      <c r="D757">
        <v>46.55</v>
      </c>
      <c r="E757">
        <v>45.86</v>
      </c>
      <c r="F757" t="s">
        <v>1596</v>
      </c>
      <c r="G757" s="50">
        <v>-8.6E-3</v>
      </c>
    </row>
    <row r="758" spans="1:7" x14ac:dyDescent="0.25">
      <c r="A758" t="s">
        <v>1597</v>
      </c>
      <c r="B758">
        <v>46.36</v>
      </c>
      <c r="C758">
        <v>46.9</v>
      </c>
      <c r="D758">
        <v>47.08</v>
      </c>
      <c r="E758">
        <v>46.06</v>
      </c>
      <c r="F758" t="s">
        <v>1598</v>
      </c>
      <c r="G758" s="50">
        <v>-2.07E-2</v>
      </c>
    </row>
    <row r="759" spans="1:7" x14ac:dyDescent="0.25">
      <c r="A759" t="s">
        <v>1599</v>
      </c>
      <c r="B759">
        <v>47.34</v>
      </c>
      <c r="C759">
        <v>47.2</v>
      </c>
      <c r="D759">
        <v>47.52</v>
      </c>
      <c r="E759">
        <v>47.13</v>
      </c>
      <c r="F759" t="s">
        <v>1600</v>
      </c>
      <c r="G759" s="50">
        <v>1.9E-3</v>
      </c>
    </row>
    <row r="760" spans="1:7" x14ac:dyDescent="0.25">
      <c r="A760" t="s">
        <v>1601</v>
      </c>
      <c r="B760">
        <v>47.25</v>
      </c>
      <c r="C760">
        <v>46.69</v>
      </c>
      <c r="D760">
        <v>47.26</v>
      </c>
      <c r="E760">
        <v>46.61</v>
      </c>
      <c r="F760" t="s">
        <v>1602</v>
      </c>
      <c r="G760" s="50">
        <v>1.4800000000000001E-2</v>
      </c>
    </row>
    <row r="761" spans="1:7" x14ac:dyDescent="0.25">
      <c r="A761" t="s">
        <v>1603</v>
      </c>
      <c r="B761">
        <v>46.56</v>
      </c>
      <c r="C761">
        <v>46.78</v>
      </c>
      <c r="D761">
        <v>46.8</v>
      </c>
      <c r="E761">
        <v>45.97</v>
      </c>
      <c r="F761" t="s">
        <v>1604</v>
      </c>
      <c r="G761" s="50">
        <v>4.0000000000000002E-4</v>
      </c>
    </row>
    <row r="762" spans="1:7" x14ac:dyDescent="0.25">
      <c r="A762" t="s">
        <v>1605</v>
      </c>
      <c r="B762">
        <v>46.54</v>
      </c>
      <c r="C762">
        <v>46.76</v>
      </c>
      <c r="D762">
        <v>46.85</v>
      </c>
      <c r="E762">
        <v>46.42</v>
      </c>
      <c r="F762" t="s">
        <v>1606</v>
      </c>
      <c r="G762" s="50">
        <v>-1.17E-2</v>
      </c>
    </row>
    <row r="763" spans="1:7" x14ac:dyDescent="0.25">
      <c r="A763" t="s">
        <v>1607</v>
      </c>
      <c r="B763">
        <v>47.09</v>
      </c>
      <c r="C763">
        <v>47.37</v>
      </c>
      <c r="D763">
        <v>47.43</v>
      </c>
      <c r="E763">
        <v>46.81</v>
      </c>
      <c r="F763" t="s">
        <v>544</v>
      </c>
      <c r="G763" s="50">
        <v>-6.3E-3</v>
      </c>
    </row>
    <row r="764" spans="1:7" x14ac:dyDescent="0.25">
      <c r="A764" t="s">
        <v>1608</v>
      </c>
      <c r="B764">
        <v>47.39</v>
      </c>
      <c r="C764">
        <v>47.05</v>
      </c>
      <c r="D764">
        <v>47.45</v>
      </c>
      <c r="E764">
        <v>47</v>
      </c>
      <c r="F764" t="s">
        <v>1609</v>
      </c>
      <c r="G764" s="50">
        <v>7.7000000000000002E-3</v>
      </c>
    </row>
    <row r="765" spans="1:7" x14ac:dyDescent="0.25">
      <c r="A765" t="s">
        <v>1610</v>
      </c>
      <c r="B765">
        <v>47.03</v>
      </c>
      <c r="C765">
        <v>46.56</v>
      </c>
      <c r="D765">
        <v>47.12</v>
      </c>
      <c r="E765">
        <v>46.24</v>
      </c>
      <c r="F765" t="s">
        <v>1611</v>
      </c>
      <c r="G765" s="50">
        <v>9.7000000000000003E-3</v>
      </c>
    </row>
    <row r="766" spans="1:7" x14ac:dyDescent="0.25">
      <c r="A766" t="s">
        <v>1612</v>
      </c>
      <c r="B766">
        <v>46.58</v>
      </c>
      <c r="C766">
        <v>47.61</v>
      </c>
      <c r="D766">
        <v>47.65</v>
      </c>
      <c r="E766">
        <v>46.36</v>
      </c>
      <c r="F766" t="s">
        <v>360</v>
      </c>
      <c r="G766" s="50">
        <v>-3.04E-2</v>
      </c>
    </row>
    <row r="767" spans="1:7" x14ac:dyDescent="0.25">
      <c r="A767" t="s">
        <v>1613</v>
      </c>
      <c r="B767">
        <v>48.04</v>
      </c>
      <c r="C767">
        <v>49.23</v>
      </c>
      <c r="D767">
        <v>49.27</v>
      </c>
      <c r="E767">
        <v>47.99</v>
      </c>
      <c r="F767" t="s">
        <v>1614</v>
      </c>
      <c r="G767" s="50">
        <v>-4.5100000000000001E-2</v>
      </c>
    </row>
    <row r="768" spans="1:7" x14ac:dyDescent="0.25">
      <c r="A768" t="s">
        <v>1615</v>
      </c>
      <c r="B768">
        <v>50.31</v>
      </c>
      <c r="C768">
        <v>50.38</v>
      </c>
      <c r="D768">
        <v>50.69</v>
      </c>
      <c r="E768">
        <v>50.07</v>
      </c>
      <c r="F768" t="s">
        <v>1616</v>
      </c>
      <c r="G768" s="50">
        <v>5.9999999999999995E-4</v>
      </c>
    </row>
    <row r="769" spans="1:7" x14ac:dyDescent="0.25">
      <c r="A769" t="s">
        <v>1617</v>
      </c>
      <c r="B769">
        <v>50.28</v>
      </c>
      <c r="C769">
        <v>50.56</v>
      </c>
      <c r="D769">
        <v>50.67</v>
      </c>
      <c r="E769">
        <v>50.05</v>
      </c>
      <c r="F769" t="s">
        <v>1618</v>
      </c>
      <c r="G769" s="50">
        <v>-5.1000000000000004E-3</v>
      </c>
    </row>
    <row r="770" spans="1:7" x14ac:dyDescent="0.25">
      <c r="A770" t="s">
        <v>1619</v>
      </c>
      <c r="B770">
        <v>50.54</v>
      </c>
      <c r="C770">
        <v>50.52</v>
      </c>
      <c r="D770">
        <v>50.85</v>
      </c>
      <c r="E770">
        <v>50.2</v>
      </c>
      <c r="F770" t="s">
        <v>1620</v>
      </c>
      <c r="G770" s="50">
        <v>-5.1000000000000004E-3</v>
      </c>
    </row>
    <row r="771" spans="1:7" x14ac:dyDescent="0.25">
      <c r="A771" t="s">
        <v>1621</v>
      </c>
      <c r="B771">
        <v>50.8</v>
      </c>
      <c r="C771">
        <v>50.21</v>
      </c>
      <c r="D771">
        <v>50.83</v>
      </c>
      <c r="E771">
        <v>50.09</v>
      </c>
      <c r="F771" t="s">
        <v>1570</v>
      </c>
      <c r="G771" s="50">
        <v>1.38E-2</v>
      </c>
    </row>
    <row r="772" spans="1:7" x14ac:dyDescent="0.25">
      <c r="A772" t="s">
        <v>1622</v>
      </c>
      <c r="B772">
        <v>50.11</v>
      </c>
      <c r="C772">
        <v>50.82</v>
      </c>
      <c r="D772">
        <v>50.95</v>
      </c>
      <c r="E772">
        <v>50.05</v>
      </c>
      <c r="F772" t="s">
        <v>241</v>
      </c>
      <c r="G772" s="50">
        <v>-1.01E-2</v>
      </c>
    </row>
    <row r="773" spans="1:7" x14ac:dyDescent="0.25">
      <c r="A773" t="s">
        <v>1623</v>
      </c>
      <c r="B773">
        <v>50.62</v>
      </c>
      <c r="C773">
        <v>51.12</v>
      </c>
      <c r="D773">
        <v>51.3</v>
      </c>
      <c r="E773">
        <v>50.52</v>
      </c>
      <c r="F773" t="s">
        <v>1624</v>
      </c>
      <c r="G773" s="50">
        <v>-1.38E-2</v>
      </c>
    </row>
    <row r="774" spans="1:7" x14ac:dyDescent="0.25">
      <c r="A774" t="s">
        <v>1625</v>
      </c>
      <c r="B774">
        <v>51.33</v>
      </c>
      <c r="C774">
        <v>51.11</v>
      </c>
      <c r="D774">
        <v>51.4</v>
      </c>
      <c r="E774">
        <v>50.88</v>
      </c>
      <c r="F774" t="s">
        <v>941</v>
      </c>
      <c r="G774" s="50">
        <v>1.1999999999999999E-3</v>
      </c>
    </row>
    <row r="775" spans="1:7" x14ac:dyDescent="0.25">
      <c r="A775" t="s">
        <v>1626</v>
      </c>
      <c r="B775">
        <v>51.27</v>
      </c>
      <c r="C775">
        <v>50.92</v>
      </c>
      <c r="D775">
        <v>51.56</v>
      </c>
      <c r="E775">
        <v>50.72</v>
      </c>
      <c r="F775" t="s">
        <v>1627</v>
      </c>
      <c r="G775" s="50">
        <v>-1.06E-2</v>
      </c>
    </row>
    <row r="776" spans="1:7" x14ac:dyDescent="0.25">
      <c r="A776" t="s">
        <v>1628</v>
      </c>
      <c r="B776">
        <v>51.82</v>
      </c>
      <c r="C776">
        <v>52.07</v>
      </c>
      <c r="D776">
        <v>52.29</v>
      </c>
      <c r="E776">
        <v>51.68</v>
      </c>
      <c r="F776" t="s">
        <v>1629</v>
      </c>
      <c r="G776" s="50">
        <v>0</v>
      </c>
    </row>
    <row r="777" spans="1:7" x14ac:dyDescent="0.25">
      <c r="A777" t="s">
        <v>1630</v>
      </c>
      <c r="B777">
        <v>51.82</v>
      </c>
      <c r="C777">
        <v>52.03</v>
      </c>
      <c r="D777">
        <v>52.12</v>
      </c>
      <c r="E777">
        <v>51.43</v>
      </c>
      <c r="F777" t="s">
        <v>1631</v>
      </c>
      <c r="G777" s="50">
        <v>-9.4000000000000004E-3</v>
      </c>
    </row>
    <row r="778" spans="1:7" x14ac:dyDescent="0.25">
      <c r="A778" t="s">
        <v>1632</v>
      </c>
      <c r="B778">
        <v>52.31</v>
      </c>
      <c r="C778">
        <v>52.06</v>
      </c>
      <c r="D778">
        <v>52.56</v>
      </c>
      <c r="E778">
        <v>51.99</v>
      </c>
      <c r="F778" t="s">
        <v>1633</v>
      </c>
      <c r="G778" s="50">
        <v>6.9999999999999999E-4</v>
      </c>
    </row>
    <row r="779" spans="1:7" x14ac:dyDescent="0.25">
      <c r="A779" t="s">
        <v>1634</v>
      </c>
      <c r="B779">
        <v>52.28</v>
      </c>
      <c r="C779">
        <v>51.44</v>
      </c>
      <c r="D779">
        <v>52.35</v>
      </c>
      <c r="E779">
        <v>51.39</v>
      </c>
      <c r="F779" t="s">
        <v>1635</v>
      </c>
      <c r="G779" s="50">
        <v>1.6400000000000001E-2</v>
      </c>
    </row>
    <row r="780" spans="1:7" x14ac:dyDescent="0.25">
      <c r="A780" t="s">
        <v>1636</v>
      </c>
      <c r="B780">
        <v>51.43</v>
      </c>
      <c r="C780">
        <v>51.58</v>
      </c>
      <c r="D780">
        <v>51.68</v>
      </c>
      <c r="E780">
        <v>51.13</v>
      </c>
      <c r="F780" t="s">
        <v>909</v>
      </c>
      <c r="G780" s="50">
        <v>5.1000000000000004E-3</v>
      </c>
    </row>
    <row r="781" spans="1:7" x14ac:dyDescent="0.25">
      <c r="A781" t="s">
        <v>1637</v>
      </c>
      <c r="B781">
        <v>51.17</v>
      </c>
      <c r="C781">
        <v>50.72</v>
      </c>
      <c r="D781">
        <v>51.27</v>
      </c>
      <c r="E781">
        <v>50.64</v>
      </c>
      <c r="F781" t="s">
        <v>1080</v>
      </c>
      <c r="G781" s="50">
        <v>1.55E-2</v>
      </c>
    </row>
    <row r="782" spans="1:7" x14ac:dyDescent="0.25">
      <c r="A782" t="s">
        <v>1638</v>
      </c>
      <c r="B782">
        <v>50.39</v>
      </c>
      <c r="C782">
        <v>50.32</v>
      </c>
      <c r="D782">
        <v>50.6</v>
      </c>
      <c r="E782">
        <v>50.27</v>
      </c>
      <c r="F782" t="s">
        <v>1639</v>
      </c>
      <c r="G782" s="50">
        <v>-3.0000000000000001E-3</v>
      </c>
    </row>
    <row r="783" spans="1:7" x14ac:dyDescent="0.25">
      <c r="A783" t="s">
        <v>1640</v>
      </c>
      <c r="B783">
        <v>50.54</v>
      </c>
      <c r="C783">
        <v>50.7</v>
      </c>
      <c r="D783">
        <v>50.95</v>
      </c>
      <c r="E783">
        <v>50.48</v>
      </c>
      <c r="F783" t="s">
        <v>1641</v>
      </c>
      <c r="G783" s="50">
        <v>5.9999999999999995E-4</v>
      </c>
    </row>
    <row r="784" spans="1:7" x14ac:dyDescent="0.25">
      <c r="A784" t="s">
        <v>1642</v>
      </c>
      <c r="B784">
        <v>50.51</v>
      </c>
      <c r="C784">
        <v>49.9</v>
      </c>
      <c r="D784">
        <v>50.55</v>
      </c>
      <c r="E784">
        <v>49.49</v>
      </c>
      <c r="F784" t="s">
        <v>851</v>
      </c>
      <c r="G784" s="50">
        <v>1.5699999999999999E-2</v>
      </c>
    </row>
    <row r="785" spans="1:7" x14ac:dyDescent="0.25">
      <c r="A785" t="s">
        <v>1643</v>
      </c>
      <c r="B785">
        <v>49.73</v>
      </c>
      <c r="C785">
        <v>49.56</v>
      </c>
      <c r="D785">
        <v>50.25</v>
      </c>
      <c r="E785">
        <v>49.4</v>
      </c>
      <c r="F785" t="s">
        <v>1102</v>
      </c>
      <c r="G785" s="50">
        <v>5.4999999999999997E-3</v>
      </c>
    </row>
    <row r="786" spans="1:7" x14ac:dyDescent="0.25">
      <c r="A786" t="s">
        <v>1644</v>
      </c>
      <c r="B786">
        <v>49.46</v>
      </c>
      <c r="C786">
        <v>50.74</v>
      </c>
      <c r="D786">
        <v>50.75</v>
      </c>
      <c r="E786">
        <v>49.42</v>
      </c>
      <c r="F786" t="s">
        <v>1645</v>
      </c>
      <c r="G786" s="50">
        <v>-2.3900000000000001E-2</v>
      </c>
    </row>
    <row r="787" spans="1:7" x14ac:dyDescent="0.25">
      <c r="A787" t="s">
        <v>1646</v>
      </c>
      <c r="B787">
        <v>50.67</v>
      </c>
      <c r="C787">
        <v>51.21</v>
      </c>
      <c r="D787">
        <v>51.33</v>
      </c>
      <c r="E787">
        <v>50.33</v>
      </c>
      <c r="F787" t="s">
        <v>1134</v>
      </c>
      <c r="G787" s="50">
        <v>-5.3E-3</v>
      </c>
    </row>
    <row r="788" spans="1:7" x14ac:dyDescent="0.25">
      <c r="A788" t="s">
        <v>1647</v>
      </c>
      <c r="B788">
        <v>50.94</v>
      </c>
      <c r="C788">
        <v>50.22</v>
      </c>
      <c r="D788">
        <v>51.04</v>
      </c>
      <c r="E788">
        <v>50.01</v>
      </c>
      <c r="F788" t="s">
        <v>1648</v>
      </c>
      <c r="G788" s="50">
        <v>1.49E-2</v>
      </c>
    </row>
    <row r="789" spans="1:7" x14ac:dyDescent="0.25">
      <c r="A789" t="s">
        <v>1649</v>
      </c>
      <c r="B789">
        <v>50.19</v>
      </c>
      <c r="C789">
        <v>50.26</v>
      </c>
      <c r="D789">
        <v>50.55</v>
      </c>
      <c r="E789">
        <v>49.74</v>
      </c>
      <c r="F789" t="s">
        <v>1650</v>
      </c>
      <c r="G789" s="50">
        <v>1.4E-3</v>
      </c>
    </row>
    <row r="790" spans="1:7" x14ac:dyDescent="0.25">
      <c r="A790" t="s">
        <v>1651</v>
      </c>
      <c r="B790">
        <v>50.12</v>
      </c>
      <c r="C790">
        <v>48.68</v>
      </c>
      <c r="D790">
        <v>50.29</v>
      </c>
      <c r="E790">
        <v>48.51</v>
      </c>
      <c r="F790" t="s">
        <v>1652</v>
      </c>
      <c r="G790" s="50">
        <v>2.1600000000000001E-2</v>
      </c>
    </row>
    <row r="791" spans="1:7" x14ac:dyDescent="0.25">
      <c r="A791" t="s">
        <v>1653</v>
      </c>
      <c r="B791">
        <v>49.06</v>
      </c>
      <c r="C791">
        <v>48.37</v>
      </c>
      <c r="D791">
        <v>49.11</v>
      </c>
      <c r="E791">
        <v>48.37</v>
      </c>
      <c r="F791" t="s">
        <v>1609</v>
      </c>
      <c r="G791" s="50">
        <v>2.0000000000000001E-4</v>
      </c>
    </row>
    <row r="792" spans="1:7" x14ac:dyDescent="0.25">
      <c r="A792" t="s">
        <v>1654</v>
      </c>
      <c r="B792">
        <v>49.05</v>
      </c>
      <c r="C792">
        <v>48.68</v>
      </c>
      <c r="D792">
        <v>49.26</v>
      </c>
      <c r="E792">
        <v>48.51</v>
      </c>
      <c r="F792" t="s">
        <v>963</v>
      </c>
      <c r="G792" s="50">
        <v>1.32E-2</v>
      </c>
    </row>
    <row r="793" spans="1:7" x14ac:dyDescent="0.25">
      <c r="A793" t="s">
        <v>1655</v>
      </c>
      <c r="B793">
        <v>48.41</v>
      </c>
      <c r="C793">
        <v>48.53</v>
      </c>
      <c r="D793">
        <v>48.88</v>
      </c>
      <c r="E793">
        <v>48.12</v>
      </c>
      <c r="F793" t="s">
        <v>544</v>
      </c>
      <c r="G793" s="50">
        <v>-3.0999999999999999E-3</v>
      </c>
    </row>
    <row r="794" spans="1:7" x14ac:dyDescent="0.25">
      <c r="A794" t="s">
        <v>1656</v>
      </c>
      <c r="B794">
        <v>48.56</v>
      </c>
      <c r="C794">
        <v>48.89</v>
      </c>
      <c r="D794">
        <v>49.17</v>
      </c>
      <c r="E794">
        <v>48.3</v>
      </c>
      <c r="F794" t="s">
        <v>1657</v>
      </c>
      <c r="G794" s="50">
        <v>-5.1000000000000004E-3</v>
      </c>
    </row>
    <row r="795" spans="1:7" x14ac:dyDescent="0.25">
      <c r="A795" t="s">
        <v>1658</v>
      </c>
      <c r="B795">
        <v>48.81</v>
      </c>
      <c r="C795">
        <v>49.3</v>
      </c>
      <c r="D795">
        <v>49.69</v>
      </c>
      <c r="E795">
        <v>48.71</v>
      </c>
      <c r="F795" t="s">
        <v>1659</v>
      </c>
      <c r="G795" s="50">
        <v>-6.1000000000000004E-3</v>
      </c>
    </row>
    <row r="796" spans="1:7" x14ac:dyDescent="0.25">
      <c r="A796" t="s">
        <v>1660</v>
      </c>
      <c r="B796">
        <v>49.11</v>
      </c>
      <c r="C796">
        <v>49.02</v>
      </c>
      <c r="D796">
        <v>49.27</v>
      </c>
      <c r="E796">
        <v>48.74</v>
      </c>
      <c r="F796" t="s">
        <v>1661</v>
      </c>
      <c r="G796" s="50">
        <v>4.1000000000000003E-3</v>
      </c>
    </row>
    <row r="797" spans="1:7" x14ac:dyDescent="0.25">
      <c r="A797" t="s">
        <v>1662</v>
      </c>
      <c r="B797">
        <v>48.91</v>
      </c>
      <c r="C797">
        <v>49.57</v>
      </c>
      <c r="D797">
        <v>49.76</v>
      </c>
      <c r="E797">
        <v>48.63</v>
      </c>
      <c r="F797" t="s">
        <v>1663</v>
      </c>
      <c r="G797" s="50">
        <v>-1.03E-2</v>
      </c>
    </row>
    <row r="798" spans="1:7" x14ac:dyDescent="0.25">
      <c r="A798" t="s">
        <v>1664</v>
      </c>
      <c r="B798">
        <v>49.42</v>
      </c>
      <c r="C798">
        <v>49.46</v>
      </c>
      <c r="D798">
        <v>49.81</v>
      </c>
      <c r="E798">
        <v>49.24</v>
      </c>
      <c r="F798" t="s">
        <v>572</v>
      </c>
      <c r="G798" s="50">
        <v>2.8E-3</v>
      </c>
    </row>
    <row r="799" spans="1:7" x14ac:dyDescent="0.25">
      <c r="A799" t="s">
        <v>1665</v>
      </c>
      <c r="B799">
        <v>49.28</v>
      </c>
      <c r="C799">
        <v>48.99</v>
      </c>
      <c r="D799">
        <v>49.36</v>
      </c>
      <c r="E799">
        <v>48.81</v>
      </c>
      <c r="F799" t="s">
        <v>451</v>
      </c>
      <c r="G799" s="50">
        <v>1.55E-2</v>
      </c>
    </row>
    <row r="800" spans="1:7" x14ac:dyDescent="0.25">
      <c r="A800" t="s">
        <v>1666</v>
      </c>
      <c r="B800">
        <v>48.53</v>
      </c>
      <c r="C800">
        <v>48.32</v>
      </c>
      <c r="D800">
        <v>48.63</v>
      </c>
      <c r="E800">
        <v>48.12</v>
      </c>
      <c r="F800" t="s">
        <v>1467</v>
      </c>
      <c r="G800" s="50">
        <v>3.8999999999999998E-3</v>
      </c>
    </row>
    <row r="801" spans="1:7" x14ac:dyDescent="0.25">
      <c r="A801" t="s">
        <v>1667</v>
      </c>
      <c r="B801">
        <v>48.34</v>
      </c>
      <c r="C801">
        <v>48.44</v>
      </c>
      <c r="D801">
        <v>48.59</v>
      </c>
      <c r="E801">
        <v>48.02</v>
      </c>
      <c r="F801" t="s">
        <v>805</v>
      </c>
      <c r="G801" s="50">
        <v>-1.6999999999999999E-3</v>
      </c>
    </row>
    <row r="802" spans="1:7" x14ac:dyDescent="0.25">
      <c r="A802" t="s">
        <v>1668</v>
      </c>
      <c r="B802">
        <v>48.42</v>
      </c>
      <c r="C802">
        <v>48.81</v>
      </c>
      <c r="D802">
        <v>48.93</v>
      </c>
      <c r="E802">
        <v>48.38</v>
      </c>
      <c r="F802" t="s">
        <v>987</v>
      </c>
      <c r="G802" s="50">
        <v>-6.4000000000000003E-3</v>
      </c>
    </row>
    <row r="803" spans="1:7" x14ac:dyDescent="0.25">
      <c r="A803" t="s">
        <v>1669</v>
      </c>
      <c r="B803">
        <v>48.73</v>
      </c>
      <c r="C803">
        <v>48.95</v>
      </c>
      <c r="D803">
        <v>49.33</v>
      </c>
      <c r="E803">
        <v>48.55</v>
      </c>
      <c r="F803" t="s">
        <v>1670</v>
      </c>
      <c r="G803" s="50">
        <v>5.1999999999999998E-3</v>
      </c>
    </row>
    <row r="804" spans="1:7" x14ac:dyDescent="0.25">
      <c r="A804" t="s">
        <v>1671</v>
      </c>
      <c r="B804">
        <v>48.48</v>
      </c>
      <c r="C804">
        <v>48.81</v>
      </c>
      <c r="D804">
        <v>48.9</v>
      </c>
      <c r="E804">
        <v>48.17</v>
      </c>
      <c r="F804" t="s">
        <v>1672</v>
      </c>
      <c r="G804" s="50">
        <v>-1.4800000000000001E-2</v>
      </c>
    </row>
    <row r="805" spans="1:7" x14ac:dyDescent="0.25">
      <c r="A805" t="s">
        <v>1673</v>
      </c>
      <c r="B805">
        <v>49.21</v>
      </c>
      <c r="C805">
        <v>49.53</v>
      </c>
      <c r="D805">
        <v>49.68</v>
      </c>
      <c r="E805">
        <v>48.55</v>
      </c>
      <c r="F805" t="s">
        <v>1674</v>
      </c>
      <c r="G805" s="50">
        <v>-2E-3</v>
      </c>
    </row>
    <row r="806" spans="1:7" x14ac:dyDescent="0.25">
      <c r="A806" t="s">
        <v>1675</v>
      </c>
      <c r="B806">
        <v>49.31</v>
      </c>
      <c r="C806">
        <v>49.85</v>
      </c>
      <c r="D806">
        <v>49.85</v>
      </c>
      <c r="E806">
        <v>48.89</v>
      </c>
      <c r="F806" t="s">
        <v>1294</v>
      </c>
      <c r="G806" s="50">
        <v>-7.6E-3</v>
      </c>
    </row>
    <row r="807" spans="1:7" x14ac:dyDescent="0.25">
      <c r="A807" t="s">
        <v>1676</v>
      </c>
      <c r="B807">
        <v>49.69</v>
      </c>
      <c r="C807">
        <v>50.71</v>
      </c>
      <c r="D807">
        <v>50.76</v>
      </c>
      <c r="E807">
        <v>49.62</v>
      </c>
      <c r="F807" t="s">
        <v>1677</v>
      </c>
      <c r="G807" s="50">
        <v>-2.1299999999999999E-2</v>
      </c>
    </row>
    <row r="808" spans="1:7" x14ac:dyDescent="0.25">
      <c r="A808" t="s">
        <v>1678</v>
      </c>
      <c r="B808">
        <v>50.77</v>
      </c>
      <c r="C808">
        <v>51.33</v>
      </c>
      <c r="D808">
        <v>51.44</v>
      </c>
      <c r="E808">
        <v>50.6</v>
      </c>
      <c r="F808" t="s">
        <v>1073</v>
      </c>
      <c r="G808" s="50">
        <v>-4.3E-3</v>
      </c>
    </row>
    <row r="809" spans="1:7" x14ac:dyDescent="0.25">
      <c r="A809" t="s">
        <v>1679</v>
      </c>
      <c r="B809">
        <v>50.99</v>
      </c>
      <c r="C809">
        <v>49.99</v>
      </c>
      <c r="D809">
        <v>51.74</v>
      </c>
      <c r="E809">
        <v>49.8</v>
      </c>
      <c r="F809" t="s">
        <v>1680</v>
      </c>
      <c r="G809" s="50">
        <v>5.2400000000000002E-2</v>
      </c>
    </row>
    <row r="810" spans="1:7" x14ac:dyDescent="0.25">
      <c r="A810" t="s">
        <v>1681</v>
      </c>
      <c r="B810">
        <v>48.45</v>
      </c>
      <c r="C810">
        <v>47.5</v>
      </c>
      <c r="D810">
        <v>48.52</v>
      </c>
      <c r="E810">
        <v>47.33</v>
      </c>
      <c r="F810" t="s">
        <v>1682</v>
      </c>
      <c r="G810" s="50">
        <v>1.5699999999999999E-2</v>
      </c>
    </row>
    <row r="811" spans="1:7" x14ac:dyDescent="0.25">
      <c r="A811" t="s">
        <v>1683</v>
      </c>
      <c r="B811">
        <v>47.7</v>
      </c>
      <c r="C811">
        <v>47.78</v>
      </c>
      <c r="D811">
        <v>48</v>
      </c>
      <c r="E811">
        <v>47.18</v>
      </c>
      <c r="F811" t="s">
        <v>1684</v>
      </c>
      <c r="G811" s="50">
        <v>-3.3E-3</v>
      </c>
    </row>
    <row r="812" spans="1:7" x14ac:dyDescent="0.25">
      <c r="A812" t="s">
        <v>1685</v>
      </c>
      <c r="B812">
        <v>47.86</v>
      </c>
      <c r="C812">
        <v>47.45</v>
      </c>
      <c r="D812">
        <v>47.99</v>
      </c>
      <c r="E812">
        <v>47.39</v>
      </c>
      <c r="F812" t="s">
        <v>1686</v>
      </c>
      <c r="G812" s="50">
        <v>1.2699999999999999E-2</v>
      </c>
    </row>
    <row r="813" spans="1:7" x14ac:dyDescent="0.25">
      <c r="A813" t="s">
        <v>1687</v>
      </c>
      <c r="B813">
        <v>47.26</v>
      </c>
      <c r="C813">
        <v>46.7</v>
      </c>
      <c r="D813">
        <v>47.32</v>
      </c>
      <c r="E813">
        <v>46.64</v>
      </c>
      <c r="F813" t="s">
        <v>1688</v>
      </c>
      <c r="G813" s="50">
        <v>1.1299999999999999E-2</v>
      </c>
    </row>
    <row r="814" spans="1:7" x14ac:dyDescent="0.25">
      <c r="A814" t="s">
        <v>1689</v>
      </c>
      <c r="B814">
        <v>46.73</v>
      </c>
      <c r="C814">
        <v>47.22</v>
      </c>
      <c r="D814">
        <v>47.41</v>
      </c>
      <c r="E814">
        <v>46.43</v>
      </c>
      <c r="F814" t="s">
        <v>1690</v>
      </c>
      <c r="G814" s="50">
        <v>-4.8999999999999998E-3</v>
      </c>
    </row>
    <row r="815" spans="1:7" x14ac:dyDescent="0.25">
      <c r="A815" t="s">
        <v>1691</v>
      </c>
      <c r="B815">
        <v>46.96</v>
      </c>
      <c r="C815">
        <v>47.38</v>
      </c>
      <c r="D815">
        <v>47.54</v>
      </c>
      <c r="E815">
        <v>46.77</v>
      </c>
      <c r="F815" t="s">
        <v>811</v>
      </c>
      <c r="G815" s="50">
        <v>-1.84E-2</v>
      </c>
    </row>
    <row r="816" spans="1:7" x14ac:dyDescent="0.25">
      <c r="A816" t="s">
        <v>1692</v>
      </c>
      <c r="B816">
        <v>47.84</v>
      </c>
      <c r="C816">
        <v>47.24</v>
      </c>
      <c r="D816">
        <v>48.15</v>
      </c>
      <c r="E816">
        <v>46.97</v>
      </c>
      <c r="F816" t="s">
        <v>1693</v>
      </c>
      <c r="G816" s="50">
        <v>5.7000000000000002E-3</v>
      </c>
    </row>
    <row r="817" spans="1:7" x14ac:dyDescent="0.25">
      <c r="A817" t="s">
        <v>1694</v>
      </c>
      <c r="B817">
        <v>47.57</v>
      </c>
      <c r="C817">
        <v>48.07</v>
      </c>
      <c r="D817">
        <v>48.28</v>
      </c>
      <c r="E817">
        <v>47.51</v>
      </c>
      <c r="F817" t="s">
        <v>1310</v>
      </c>
      <c r="G817" s="50">
        <v>-2.18E-2</v>
      </c>
    </row>
    <row r="818" spans="1:7" x14ac:dyDescent="0.25">
      <c r="A818" t="s">
        <v>1695</v>
      </c>
      <c r="B818">
        <v>48.63</v>
      </c>
      <c r="C818">
        <v>49.3</v>
      </c>
      <c r="D818">
        <v>49.3</v>
      </c>
      <c r="E818">
        <v>48.51</v>
      </c>
      <c r="F818" t="s">
        <v>1696</v>
      </c>
      <c r="G818" s="50">
        <v>-1.4E-2</v>
      </c>
    </row>
    <row r="819" spans="1:7" x14ac:dyDescent="0.25">
      <c r="A819" t="s">
        <v>1697</v>
      </c>
      <c r="B819">
        <v>49.32</v>
      </c>
      <c r="C819">
        <v>48.53</v>
      </c>
      <c r="D819">
        <v>49.56</v>
      </c>
      <c r="E819">
        <v>48.35</v>
      </c>
      <c r="F819" t="s">
        <v>937</v>
      </c>
      <c r="G819" s="50">
        <v>1.54E-2</v>
      </c>
    </row>
    <row r="820" spans="1:7" x14ac:dyDescent="0.25">
      <c r="A820" t="s">
        <v>1698</v>
      </c>
      <c r="B820">
        <v>48.57</v>
      </c>
      <c r="C820">
        <v>48.39</v>
      </c>
      <c r="D820">
        <v>48.9</v>
      </c>
      <c r="E820">
        <v>47.51</v>
      </c>
      <c r="F820" t="s">
        <v>1699</v>
      </c>
      <c r="G820" s="50">
        <v>-2.0999999999999999E-3</v>
      </c>
    </row>
    <row r="821" spans="1:7" x14ac:dyDescent="0.25">
      <c r="A821" t="s">
        <v>1700</v>
      </c>
      <c r="B821">
        <v>48.67</v>
      </c>
      <c r="C821">
        <v>48.12</v>
      </c>
      <c r="D821">
        <v>48.69</v>
      </c>
      <c r="E821">
        <v>48.05</v>
      </c>
      <c r="F821" t="s">
        <v>1701</v>
      </c>
      <c r="G821" s="50">
        <v>9.2999999999999992E-3</v>
      </c>
    </row>
    <row r="822" spans="1:7" x14ac:dyDescent="0.25">
      <c r="A822" t="s">
        <v>1702</v>
      </c>
      <c r="B822">
        <v>48.22</v>
      </c>
      <c r="C822">
        <v>48.14</v>
      </c>
      <c r="D822">
        <v>48.5</v>
      </c>
      <c r="E822">
        <v>48.12</v>
      </c>
      <c r="F822" t="s">
        <v>1703</v>
      </c>
      <c r="G822" s="50">
        <v>-6.0000000000000001E-3</v>
      </c>
    </row>
    <row r="823" spans="1:7" x14ac:dyDescent="0.25">
      <c r="A823" t="s">
        <v>1704</v>
      </c>
      <c r="B823">
        <v>48.51</v>
      </c>
      <c r="C823">
        <v>48.1</v>
      </c>
      <c r="D823">
        <v>48.73</v>
      </c>
      <c r="E823">
        <v>47.97</v>
      </c>
      <c r="F823" t="s">
        <v>1705</v>
      </c>
      <c r="G823" s="50">
        <v>3.5000000000000001E-3</v>
      </c>
    </row>
    <row r="824" spans="1:7" x14ac:dyDescent="0.25">
      <c r="A824" t="s">
        <v>1706</v>
      </c>
      <c r="B824">
        <v>48.34</v>
      </c>
      <c r="C824">
        <v>48.15</v>
      </c>
      <c r="D824">
        <v>48.47</v>
      </c>
      <c r="E824">
        <v>47.83</v>
      </c>
      <c r="F824" t="s">
        <v>878</v>
      </c>
      <c r="G824" s="50">
        <v>7.4999999999999997E-3</v>
      </c>
    </row>
    <row r="825" spans="1:7" x14ac:dyDescent="0.25">
      <c r="A825" t="s">
        <v>1707</v>
      </c>
      <c r="B825">
        <v>47.98</v>
      </c>
      <c r="C825">
        <v>47.98</v>
      </c>
      <c r="D825">
        <v>48.08</v>
      </c>
      <c r="E825">
        <v>47.23</v>
      </c>
      <c r="F825" t="s">
        <v>1250</v>
      </c>
      <c r="G825" s="50">
        <v>3.5999999999999999E-3</v>
      </c>
    </row>
    <row r="826" spans="1:7" x14ac:dyDescent="0.25">
      <c r="A826" t="s">
        <v>1708</v>
      </c>
      <c r="B826">
        <v>47.81</v>
      </c>
      <c r="C826">
        <v>47.49</v>
      </c>
      <c r="D826">
        <v>48.01</v>
      </c>
      <c r="E826">
        <v>47.06</v>
      </c>
      <c r="F826" t="s">
        <v>1709</v>
      </c>
      <c r="G826" s="50">
        <v>6.4999999999999997E-3</v>
      </c>
    </row>
    <row r="827" spans="1:7" x14ac:dyDescent="0.25">
      <c r="A827" t="s">
        <v>1710</v>
      </c>
      <c r="B827">
        <v>47.5</v>
      </c>
      <c r="C827">
        <v>46.9</v>
      </c>
      <c r="D827">
        <v>47.87</v>
      </c>
      <c r="E827">
        <v>46.81</v>
      </c>
      <c r="F827" t="s">
        <v>1711</v>
      </c>
      <c r="G827" s="50">
        <v>1.54E-2</v>
      </c>
    </row>
    <row r="828" spans="1:7" x14ac:dyDescent="0.25">
      <c r="A828" t="s">
        <v>1712</v>
      </c>
      <c r="B828">
        <v>46.78</v>
      </c>
      <c r="C828">
        <v>46.06</v>
      </c>
      <c r="D828">
        <v>46.83</v>
      </c>
      <c r="E828">
        <v>45.67</v>
      </c>
      <c r="F828" t="s">
        <v>1713</v>
      </c>
      <c r="G828" s="50">
        <v>6.8999999999999999E-3</v>
      </c>
    </row>
    <row r="829" spans="1:7" x14ac:dyDescent="0.25">
      <c r="A829" t="s">
        <v>1714</v>
      </c>
      <c r="B829">
        <v>46.46</v>
      </c>
      <c r="C829">
        <v>46.95</v>
      </c>
      <c r="D829">
        <v>47.05</v>
      </c>
      <c r="E829">
        <v>46.39</v>
      </c>
      <c r="F829" t="s">
        <v>905</v>
      </c>
      <c r="G829" s="50">
        <v>-9.4000000000000004E-3</v>
      </c>
    </row>
    <row r="830" spans="1:7" x14ac:dyDescent="0.25">
      <c r="A830" t="s">
        <v>1715</v>
      </c>
      <c r="B830">
        <v>46.9</v>
      </c>
      <c r="C830">
        <v>48.19</v>
      </c>
      <c r="D830">
        <v>48.27</v>
      </c>
      <c r="E830">
        <v>46.89</v>
      </c>
      <c r="F830" t="s">
        <v>1716</v>
      </c>
      <c r="G830" s="50">
        <v>-2.4500000000000001E-2</v>
      </c>
    </row>
    <row r="831" spans="1:7" x14ac:dyDescent="0.25">
      <c r="A831" t="s">
        <v>1717</v>
      </c>
      <c r="B831">
        <v>48.08</v>
      </c>
      <c r="C831">
        <v>48.92</v>
      </c>
      <c r="D831">
        <v>48.94</v>
      </c>
      <c r="E831">
        <v>47.95</v>
      </c>
      <c r="F831" t="s">
        <v>1718</v>
      </c>
      <c r="G831" s="50">
        <v>-1.6400000000000001E-2</v>
      </c>
    </row>
    <row r="832" spans="1:7" x14ac:dyDescent="0.25">
      <c r="A832" t="s">
        <v>1719</v>
      </c>
      <c r="B832">
        <v>48.88</v>
      </c>
      <c r="C832">
        <v>48.56</v>
      </c>
      <c r="D832">
        <v>49.02</v>
      </c>
      <c r="E832">
        <v>48.42</v>
      </c>
      <c r="F832" t="s">
        <v>1720</v>
      </c>
      <c r="G832" s="50">
        <v>-2.3999999999999998E-3</v>
      </c>
    </row>
    <row r="833" spans="1:7" x14ac:dyDescent="0.25">
      <c r="A833" t="s">
        <v>1721</v>
      </c>
      <c r="B833">
        <v>49</v>
      </c>
      <c r="C833">
        <v>49.21</v>
      </c>
      <c r="D833">
        <v>49.43</v>
      </c>
      <c r="E833">
        <v>48.85</v>
      </c>
      <c r="F833" t="s">
        <v>1722</v>
      </c>
      <c r="G833" s="50">
        <v>-4.3E-3</v>
      </c>
    </row>
    <row r="834" spans="1:7" x14ac:dyDescent="0.25">
      <c r="A834" t="s">
        <v>1723</v>
      </c>
      <c r="B834">
        <v>49.21</v>
      </c>
      <c r="C834">
        <v>48.83</v>
      </c>
      <c r="D834">
        <v>49.23</v>
      </c>
      <c r="E834">
        <v>48.7</v>
      </c>
      <c r="F834" t="s">
        <v>1724</v>
      </c>
      <c r="G834" s="50">
        <v>8.2000000000000007E-3</v>
      </c>
    </row>
    <row r="835" spans="1:7" x14ac:dyDescent="0.25">
      <c r="A835" t="s">
        <v>1725</v>
      </c>
      <c r="B835">
        <v>48.81</v>
      </c>
      <c r="C835">
        <v>48.8</v>
      </c>
      <c r="D835">
        <v>49.21</v>
      </c>
      <c r="E835">
        <v>48.59</v>
      </c>
      <c r="F835" t="s">
        <v>1726</v>
      </c>
      <c r="G835" s="50">
        <v>4.7000000000000002E-3</v>
      </c>
    </row>
    <row r="836" spans="1:7" x14ac:dyDescent="0.25">
      <c r="A836" t="s">
        <v>1727</v>
      </c>
      <c r="B836">
        <v>48.58</v>
      </c>
      <c r="C836">
        <v>48.26</v>
      </c>
      <c r="D836">
        <v>49.21</v>
      </c>
      <c r="E836">
        <v>48.22</v>
      </c>
      <c r="F836" t="s">
        <v>628</v>
      </c>
      <c r="G836" s="50">
        <v>5.4000000000000003E-3</v>
      </c>
    </row>
    <row r="837" spans="1:7" x14ac:dyDescent="0.25">
      <c r="A837" t="s">
        <v>1728</v>
      </c>
      <c r="B837">
        <v>48.32</v>
      </c>
      <c r="C837">
        <v>47.46</v>
      </c>
      <c r="D837">
        <v>48.58</v>
      </c>
      <c r="E837">
        <v>47.28</v>
      </c>
      <c r="F837" t="s">
        <v>1729</v>
      </c>
      <c r="G837" s="50">
        <v>3.0700000000000002E-2</v>
      </c>
    </row>
    <row r="838" spans="1:7" x14ac:dyDescent="0.25">
      <c r="A838" t="s">
        <v>1730</v>
      </c>
      <c r="B838">
        <v>46.88</v>
      </c>
      <c r="C838">
        <v>47.49</v>
      </c>
      <c r="D838">
        <v>47.49</v>
      </c>
      <c r="E838">
        <v>46.76</v>
      </c>
      <c r="F838" t="s">
        <v>1207</v>
      </c>
      <c r="G838" s="50">
        <v>-1.41E-2</v>
      </c>
    </row>
    <row r="839" spans="1:7" x14ac:dyDescent="0.25">
      <c r="A839" t="s">
        <v>1731</v>
      </c>
      <c r="B839">
        <v>47.55</v>
      </c>
      <c r="C839">
        <v>48.28</v>
      </c>
      <c r="D839">
        <v>48.48</v>
      </c>
      <c r="E839">
        <v>47.17</v>
      </c>
      <c r="F839" t="s">
        <v>998</v>
      </c>
      <c r="G839" s="50">
        <v>-8.0999999999999996E-3</v>
      </c>
    </row>
    <row r="840" spans="1:7" x14ac:dyDescent="0.25">
      <c r="A840" t="s">
        <v>1732</v>
      </c>
      <c r="B840">
        <v>47.94</v>
      </c>
      <c r="C840">
        <v>47.86</v>
      </c>
      <c r="D840">
        <v>48.05</v>
      </c>
      <c r="E840">
        <v>47.31</v>
      </c>
      <c r="F840" t="s">
        <v>1238</v>
      </c>
      <c r="G840" s="50">
        <v>6.3E-3</v>
      </c>
    </row>
    <row r="841" spans="1:7" x14ac:dyDescent="0.25">
      <c r="A841" t="s">
        <v>1733</v>
      </c>
      <c r="B841">
        <v>47.64</v>
      </c>
      <c r="C841">
        <v>47.27</v>
      </c>
      <c r="D841">
        <v>47.67</v>
      </c>
      <c r="E841">
        <v>46.95</v>
      </c>
      <c r="F841" t="s">
        <v>1582</v>
      </c>
      <c r="G841" s="50">
        <v>2.8999999999999998E-3</v>
      </c>
    </row>
    <row r="842" spans="1:7" x14ac:dyDescent="0.25">
      <c r="A842" t="s">
        <v>1734</v>
      </c>
      <c r="B842">
        <v>47.5</v>
      </c>
      <c r="C842">
        <v>47.26</v>
      </c>
      <c r="D842">
        <v>47.74</v>
      </c>
      <c r="E842">
        <v>47.26</v>
      </c>
      <c r="F842" t="s">
        <v>1735</v>
      </c>
      <c r="G842" s="50">
        <v>9.1000000000000004E-3</v>
      </c>
    </row>
    <row r="843" spans="1:7" x14ac:dyDescent="0.25">
      <c r="A843" t="s">
        <v>1736</v>
      </c>
      <c r="B843">
        <v>47.07</v>
      </c>
      <c r="C843">
        <v>47.69</v>
      </c>
      <c r="D843">
        <v>47.77</v>
      </c>
      <c r="E843">
        <v>46.98</v>
      </c>
      <c r="F843" t="s">
        <v>1737</v>
      </c>
      <c r="G843" s="50">
        <v>-9.7000000000000003E-3</v>
      </c>
    </row>
    <row r="844" spans="1:7" x14ac:dyDescent="0.25">
      <c r="A844" t="s">
        <v>1738</v>
      </c>
      <c r="B844">
        <v>47.53</v>
      </c>
      <c r="C844">
        <v>47.67</v>
      </c>
      <c r="D844">
        <v>47.71</v>
      </c>
      <c r="E844">
        <v>47.22</v>
      </c>
      <c r="F844" t="s">
        <v>1739</v>
      </c>
      <c r="G844" s="50">
        <v>1.1000000000000001E-3</v>
      </c>
    </row>
    <row r="845" spans="1:7" x14ac:dyDescent="0.25">
      <c r="A845" t="s">
        <v>1740</v>
      </c>
      <c r="B845">
        <v>47.48</v>
      </c>
      <c r="C845">
        <v>47.25</v>
      </c>
      <c r="D845">
        <v>47.49</v>
      </c>
      <c r="E845">
        <v>47.01</v>
      </c>
      <c r="F845" t="s">
        <v>1741</v>
      </c>
      <c r="G845" s="50">
        <v>3.3999999999999998E-3</v>
      </c>
    </row>
    <row r="846" spans="1:7" x14ac:dyDescent="0.25">
      <c r="A846" t="s">
        <v>1742</v>
      </c>
      <c r="B846">
        <v>47.32</v>
      </c>
      <c r="C846">
        <v>47.49</v>
      </c>
      <c r="D846">
        <v>47.49</v>
      </c>
      <c r="E846">
        <v>46.69</v>
      </c>
      <c r="F846" t="s">
        <v>1743</v>
      </c>
      <c r="G846" s="50">
        <v>-7.1000000000000004E-3</v>
      </c>
    </row>
    <row r="847" spans="1:7" x14ac:dyDescent="0.25">
      <c r="A847" t="s">
        <v>1744</v>
      </c>
      <c r="B847">
        <v>47.66</v>
      </c>
      <c r="C847">
        <v>47.69</v>
      </c>
      <c r="D847">
        <v>47.96</v>
      </c>
      <c r="E847">
        <v>47.42</v>
      </c>
      <c r="F847" t="s">
        <v>694</v>
      </c>
      <c r="G847" s="50">
        <v>6.1000000000000004E-3</v>
      </c>
    </row>
    <row r="848" spans="1:7" x14ac:dyDescent="0.25">
      <c r="A848" t="s">
        <v>1745</v>
      </c>
      <c r="B848">
        <v>47.37</v>
      </c>
      <c r="C848">
        <v>47.41</v>
      </c>
      <c r="D848">
        <v>47.56</v>
      </c>
      <c r="E848">
        <v>46.79</v>
      </c>
      <c r="F848" t="s">
        <v>1746</v>
      </c>
      <c r="G848" s="50">
        <v>-5.9999999999999995E-4</v>
      </c>
    </row>
    <row r="849" spans="1:7" x14ac:dyDescent="0.25">
      <c r="A849" t="s">
        <v>1747</v>
      </c>
      <c r="B849">
        <v>47.4</v>
      </c>
      <c r="C849">
        <v>47.66</v>
      </c>
      <c r="D849">
        <v>47.96</v>
      </c>
      <c r="E849">
        <v>47.14</v>
      </c>
      <c r="F849" t="s">
        <v>1748</v>
      </c>
      <c r="G849" s="50">
        <v>-8.6E-3</v>
      </c>
    </row>
    <row r="850" spans="1:7" x14ac:dyDescent="0.25">
      <c r="A850" t="s">
        <v>1749</v>
      </c>
      <c r="B850">
        <v>47.81</v>
      </c>
      <c r="C850">
        <v>47.41</v>
      </c>
      <c r="D850">
        <v>48</v>
      </c>
      <c r="E850">
        <v>47.08</v>
      </c>
      <c r="F850" t="s">
        <v>1750</v>
      </c>
      <c r="G850" s="50">
        <v>-7.1000000000000004E-3</v>
      </c>
    </row>
    <row r="851" spans="1:7" x14ac:dyDescent="0.25">
      <c r="A851" t="s">
        <v>1751</v>
      </c>
      <c r="B851">
        <v>48.15</v>
      </c>
      <c r="C851">
        <v>48.96</v>
      </c>
      <c r="D851">
        <v>49.05</v>
      </c>
      <c r="E851">
        <v>47.74</v>
      </c>
      <c r="F851" t="s">
        <v>1752</v>
      </c>
      <c r="G851" s="50">
        <v>-2.3300000000000001E-2</v>
      </c>
    </row>
    <row r="852" spans="1:7" x14ac:dyDescent="0.25">
      <c r="A852" t="s">
        <v>1753</v>
      </c>
      <c r="B852">
        <v>49.3</v>
      </c>
      <c r="C852">
        <v>49.74</v>
      </c>
      <c r="D852">
        <v>50.06</v>
      </c>
      <c r="E852">
        <v>48.82</v>
      </c>
      <c r="F852" t="s">
        <v>1268</v>
      </c>
      <c r="G852" s="50">
        <v>-6.7999999999999996E-3</v>
      </c>
    </row>
    <row r="853" spans="1:7" x14ac:dyDescent="0.25">
      <c r="A853" t="s">
        <v>1754</v>
      </c>
      <c r="B853">
        <v>49.64</v>
      </c>
      <c r="C853">
        <v>50.33</v>
      </c>
      <c r="D853">
        <v>50.71</v>
      </c>
      <c r="E853">
        <v>49.23</v>
      </c>
      <c r="F853" t="s">
        <v>1755</v>
      </c>
      <c r="G853" s="50">
        <v>6.8999999999999999E-3</v>
      </c>
    </row>
    <row r="854" spans="1:7" x14ac:dyDescent="0.25">
      <c r="A854" t="s">
        <v>1756</v>
      </c>
      <c r="B854">
        <v>49.3</v>
      </c>
      <c r="C854">
        <v>48.8</v>
      </c>
      <c r="D854">
        <v>49.32</v>
      </c>
      <c r="E854">
        <v>48.37</v>
      </c>
      <c r="F854" t="s">
        <v>245</v>
      </c>
      <c r="G854" s="50">
        <v>1.7299999999999999E-2</v>
      </c>
    </row>
    <row r="855" spans="1:7" x14ac:dyDescent="0.25">
      <c r="A855" t="s">
        <v>1757</v>
      </c>
      <c r="B855">
        <v>48.46</v>
      </c>
      <c r="C855">
        <v>49.1</v>
      </c>
      <c r="D855">
        <v>49.17</v>
      </c>
      <c r="E855">
        <v>48.44</v>
      </c>
      <c r="F855" t="s">
        <v>1384</v>
      </c>
      <c r="G855" s="50">
        <v>-1.0800000000000001E-2</v>
      </c>
    </row>
    <row r="856" spans="1:7" x14ac:dyDescent="0.25">
      <c r="A856" t="s">
        <v>1758</v>
      </c>
      <c r="B856">
        <v>48.99</v>
      </c>
      <c r="C856">
        <v>48.66</v>
      </c>
      <c r="D856">
        <v>49.2</v>
      </c>
      <c r="E856">
        <v>48.62</v>
      </c>
      <c r="F856" t="s">
        <v>1759</v>
      </c>
      <c r="G856" s="50">
        <v>1.6799999999999999E-2</v>
      </c>
    </row>
    <row r="857" spans="1:7" x14ac:dyDescent="0.25">
      <c r="A857" t="s">
        <v>1760</v>
      </c>
      <c r="B857">
        <v>48.18</v>
      </c>
      <c r="C857">
        <v>48.4</v>
      </c>
      <c r="D857">
        <v>48.55</v>
      </c>
      <c r="E857">
        <v>48.06</v>
      </c>
      <c r="F857" t="s">
        <v>1304</v>
      </c>
      <c r="G857" s="50">
        <v>-8.3999999999999995E-3</v>
      </c>
    </row>
    <row r="858" spans="1:7" x14ac:dyDescent="0.25">
      <c r="A858" t="s">
        <v>1761</v>
      </c>
      <c r="B858">
        <v>48.59</v>
      </c>
      <c r="C858">
        <v>49.44</v>
      </c>
      <c r="D858">
        <v>49.44</v>
      </c>
      <c r="E858">
        <v>48.26</v>
      </c>
      <c r="F858" t="s">
        <v>1172</v>
      </c>
      <c r="G858" s="50">
        <v>-1.4999999999999999E-2</v>
      </c>
    </row>
    <row r="859" spans="1:7" x14ac:dyDescent="0.25">
      <c r="A859" t="s">
        <v>1762</v>
      </c>
      <c r="B859">
        <v>49.33</v>
      </c>
      <c r="C859">
        <v>49.55</v>
      </c>
      <c r="D859">
        <v>49.64</v>
      </c>
      <c r="E859">
        <v>49.17</v>
      </c>
      <c r="F859" t="s">
        <v>1629</v>
      </c>
      <c r="G859" s="50">
        <v>-7.4000000000000003E-3</v>
      </c>
    </row>
    <row r="860" spans="1:7" x14ac:dyDescent="0.25">
      <c r="A860" t="s">
        <v>1763</v>
      </c>
      <c r="B860">
        <v>49.7</v>
      </c>
      <c r="C860">
        <v>49.23</v>
      </c>
      <c r="D860">
        <v>49.84</v>
      </c>
      <c r="E860">
        <v>48.92</v>
      </c>
      <c r="F860" t="s">
        <v>1764</v>
      </c>
      <c r="G860" s="50">
        <v>-5.4000000000000003E-3</v>
      </c>
    </row>
    <row r="861" spans="1:7" x14ac:dyDescent="0.25">
      <c r="A861" t="s">
        <v>1765</v>
      </c>
      <c r="B861">
        <v>49.97</v>
      </c>
      <c r="C861">
        <v>49.88</v>
      </c>
      <c r="D861">
        <v>50.46</v>
      </c>
      <c r="E861">
        <v>49.69</v>
      </c>
      <c r="F861" t="s">
        <v>1766</v>
      </c>
      <c r="G861" s="50">
        <v>5.0000000000000001E-3</v>
      </c>
    </row>
    <row r="862" spans="1:7" x14ac:dyDescent="0.25">
      <c r="A862" t="s">
        <v>1767</v>
      </c>
      <c r="B862">
        <v>49.72</v>
      </c>
      <c r="C862">
        <v>48.17</v>
      </c>
      <c r="D862">
        <v>49.83</v>
      </c>
      <c r="E862">
        <v>47.96</v>
      </c>
      <c r="F862" t="s">
        <v>1768</v>
      </c>
      <c r="G862" s="50">
        <v>2.98E-2</v>
      </c>
    </row>
    <row r="863" spans="1:7" x14ac:dyDescent="0.25">
      <c r="A863" t="s">
        <v>1769</v>
      </c>
      <c r="B863">
        <v>48.28</v>
      </c>
      <c r="C863">
        <v>48.25</v>
      </c>
      <c r="D863">
        <v>48.41</v>
      </c>
      <c r="E863">
        <v>47.84</v>
      </c>
      <c r="F863" t="s">
        <v>1770</v>
      </c>
      <c r="G863" s="50">
        <v>4.1999999999999997E-3</v>
      </c>
    </row>
    <row r="864" spans="1:7" x14ac:dyDescent="0.25">
      <c r="A864" t="s">
        <v>1771</v>
      </c>
      <c r="B864">
        <v>48.08</v>
      </c>
      <c r="C864">
        <v>48.29</v>
      </c>
      <c r="D864">
        <v>48.47</v>
      </c>
      <c r="E864">
        <v>47.92</v>
      </c>
      <c r="F864" t="s">
        <v>1772</v>
      </c>
      <c r="G864" s="50">
        <v>-6.6E-3</v>
      </c>
    </row>
    <row r="865" spans="1:7" x14ac:dyDescent="0.25">
      <c r="A865" t="s">
        <v>1773</v>
      </c>
      <c r="B865">
        <v>48.4</v>
      </c>
      <c r="C865">
        <v>48.75</v>
      </c>
      <c r="D865">
        <v>49.05</v>
      </c>
      <c r="E865">
        <v>48.35</v>
      </c>
      <c r="F865" t="s">
        <v>1774</v>
      </c>
      <c r="G865" s="50">
        <v>-3.5000000000000001E-3</v>
      </c>
    </row>
    <row r="866" spans="1:7" x14ac:dyDescent="0.25">
      <c r="A866" t="s">
        <v>1775</v>
      </c>
      <c r="B866">
        <v>48.57</v>
      </c>
      <c r="C866">
        <v>48.4</v>
      </c>
      <c r="D866">
        <v>48.99</v>
      </c>
      <c r="E866">
        <v>48.32</v>
      </c>
      <c r="F866" t="s">
        <v>1739</v>
      </c>
      <c r="G866" s="50">
        <v>3.8999999999999998E-3</v>
      </c>
    </row>
    <row r="867" spans="1:7" x14ac:dyDescent="0.25">
      <c r="A867" t="s">
        <v>1776</v>
      </c>
      <c r="B867">
        <v>48.38</v>
      </c>
      <c r="C867">
        <v>48</v>
      </c>
      <c r="D867">
        <v>48.42</v>
      </c>
      <c r="E867">
        <v>47.76</v>
      </c>
      <c r="F867" t="s">
        <v>1075</v>
      </c>
      <c r="G867" s="50">
        <v>1.6E-2</v>
      </c>
    </row>
    <row r="868" spans="1:7" x14ac:dyDescent="0.25">
      <c r="A868" t="s">
        <v>1777</v>
      </c>
      <c r="B868">
        <v>47.62</v>
      </c>
      <c r="C868">
        <v>47.61</v>
      </c>
      <c r="D868">
        <v>48.29</v>
      </c>
      <c r="E868">
        <v>47.56</v>
      </c>
      <c r="F868" t="s">
        <v>604</v>
      </c>
      <c r="G868" s="50">
        <v>-3.5999999999999999E-3</v>
      </c>
    </row>
    <row r="869" spans="1:7" x14ac:dyDescent="0.25">
      <c r="A869" t="s">
        <v>1778</v>
      </c>
      <c r="B869">
        <v>47.79</v>
      </c>
      <c r="C869">
        <v>46.91</v>
      </c>
      <c r="D869">
        <v>48.04</v>
      </c>
      <c r="E869">
        <v>46.86</v>
      </c>
      <c r="F869" t="s">
        <v>1779</v>
      </c>
      <c r="G869" s="50">
        <v>2.58E-2</v>
      </c>
    </row>
    <row r="870" spans="1:7" x14ac:dyDescent="0.25">
      <c r="A870" t="s">
        <v>1780</v>
      </c>
      <c r="B870">
        <v>46.59</v>
      </c>
      <c r="C870">
        <v>46.19</v>
      </c>
      <c r="D870">
        <v>46.85</v>
      </c>
      <c r="E870">
        <v>45.16</v>
      </c>
      <c r="F870" t="s">
        <v>1781</v>
      </c>
      <c r="G870" s="50">
        <v>4.9599999999999998E-2</v>
      </c>
    </row>
    <row r="871" spans="1:7" x14ac:dyDescent="0.25">
      <c r="A871" t="s">
        <v>1782</v>
      </c>
      <c r="B871">
        <v>44.39</v>
      </c>
      <c r="C871">
        <v>44.94</v>
      </c>
      <c r="D871">
        <v>44.98</v>
      </c>
      <c r="E871">
        <v>44.3</v>
      </c>
      <c r="F871" t="s">
        <v>1783</v>
      </c>
      <c r="G871" s="50">
        <v>-1.14E-2</v>
      </c>
    </row>
    <row r="872" spans="1:7" x14ac:dyDescent="0.25">
      <c r="A872" t="s">
        <v>1784</v>
      </c>
      <c r="B872">
        <v>44.9</v>
      </c>
      <c r="C872">
        <v>45.04</v>
      </c>
      <c r="D872">
        <v>45.24</v>
      </c>
      <c r="E872">
        <v>44.44</v>
      </c>
      <c r="F872" t="s">
        <v>1095</v>
      </c>
      <c r="G872" s="50">
        <v>3.5999999999999999E-3</v>
      </c>
    </row>
    <row r="873" spans="1:7" x14ac:dyDescent="0.25">
      <c r="A873" t="s">
        <v>1785</v>
      </c>
      <c r="B873">
        <v>44.74</v>
      </c>
      <c r="C873">
        <v>44.83</v>
      </c>
      <c r="D873">
        <v>45.44</v>
      </c>
      <c r="E873">
        <v>44.68</v>
      </c>
      <c r="F873" t="s">
        <v>1786</v>
      </c>
      <c r="G873" s="50">
        <v>-1.1000000000000001E-3</v>
      </c>
    </row>
    <row r="874" spans="1:7" x14ac:dyDescent="0.25">
      <c r="A874" t="s">
        <v>1787</v>
      </c>
      <c r="B874">
        <v>44.79</v>
      </c>
      <c r="C874">
        <v>45.18</v>
      </c>
      <c r="D874">
        <v>45.32</v>
      </c>
      <c r="E874">
        <v>43.92</v>
      </c>
      <c r="F874" t="s">
        <v>1788</v>
      </c>
      <c r="G874" s="50">
        <v>-1.9099999999999999E-2</v>
      </c>
    </row>
    <row r="875" spans="1:7" x14ac:dyDescent="0.25">
      <c r="A875" t="s">
        <v>1789</v>
      </c>
      <c r="B875">
        <v>45.66</v>
      </c>
      <c r="C875">
        <v>45.7</v>
      </c>
      <c r="D875">
        <v>45.81</v>
      </c>
      <c r="E875">
        <v>44.65</v>
      </c>
      <c r="F875" t="s">
        <v>1790</v>
      </c>
      <c r="G875" s="50">
        <v>3.9899999999999998E-2</v>
      </c>
    </row>
    <row r="876" spans="1:7" x14ac:dyDescent="0.25">
      <c r="A876" t="s">
        <v>1791</v>
      </c>
      <c r="B876">
        <v>43.91</v>
      </c>
      <c r="C876">
        <v>44.51</v>
      </c>
      <c r="D876">
        <v>44.72</v>
      </c>
      <c r="E876">
        <v>43.89</v>
      </c>
      <c r="F876" t="s">
        <v>1792</v>
      </c>
      <c r="G876" s="50">
        <v>-1.5699999999999999E-2</v>
      </c>
    </row>
    <row r="877" spans="1:7" x14ac:dyDescent="0.25">
      <c r="A877" t="s">
        <v>1793</v>
      </c>
      <c r="B877">
        <v>44.61</v>
      </c>
      <c r="C877">
        <v>44.69</v>
      </c>
      <c r="D877">
        <v>45.35</v>
      </c>
      <c r="E877">
        <v>44.18</v>
      </c>
      <c r="F877" t="s">
        <v>1794</v>
      </c>
      <c r="G877" s="50">
        <v>1.2999999999999999E-3</v>
      </c>
    </row>
    <row r="878" spans="1:7" x14ac:dyDescent="0.25">
      <c r="A878" t="s">
        <v>1795</v>
      </c>
      <c r="B878">
        <v>44.55</v>
      </c>
      <c r="C878">
        <v>44.83</v>
      </c>
      <c r="D878">
        <v>44.98</v>
      </c>
      <c r="E878">
        <v>44.4</v>
      </c>
      <c r="F878" t="s">
        <v>1796</v>
      </c>
      <c r="G878" s="50">
        <v>6.9999999999999999E-4</v>
      </c>
    </row>
    <row r="879" spans="1:7" x14ac:dyDescent="0.25">
      <c r="A879" t="s">
        <v>1797</v>
      </c>
      <c r="B879">
        <v>44.52</v>
      </c>
      <c r="C879">
        <v>44.5</v>
      </c>
      <c r="D879">
        <v>45.08</v>
      </c>
      <c r="E879">
        <v>43.83</v>
      </c>
      <c r="F879" t="s">
        <v>1798</v>
      </c>
      <c r="G879" s="50">
        <v>1.5299999999999999E-2</v>
      </c>
    </row>
    <row r="880" spans="1:7" x14ac:dyDescent="0.25">
      <c r="A880" t="s">
        <v>1799</v>
      </c>
      <c r="B880">
        <v>43.85</v>
      </c>
      <c r="C880">
        <v>44.03</v>
      </c>
      <c r="D880">
        <v>44.15</v>
      </c>
      <c r="E880">
        <v>43.39</v>
      </c>
      <c r="F880" t="s">
        <v>1800</v>
      </c>
      <c r="G880" s="50">
        <v>-1.6199999999999999E-2</v>
      </c>
    </row>
    <row r="881" spans="1:7" x14ac:dyDescent="0.25">
      <c r="A881" t="s">
        <v>1801</v>
      </c>
      <c r="B881">
        <v>44.57</v>
      </c>
      <c r="C881">
        <v>45.47</v>
      </c>
      <c r="D881">
        <v>46.21</v>
      </c>
      <c r="E881">
        <v>44.55</v>
      </c>
      <c r="F881" t="s">
        <v>1802</v>
      </c>
      <c r="G881" s="50">
        <v>-1.9599999999999999E-2</v>
      </c>
    </row>
    <row r="882" spans="1:7" x14ac:dyDescent="0.25">
      <c r="A882" t="s">
        <v>1803</v>
      </c>
      <c r="B882">
        <v>45.46</v>
      </c>
      <c r="C882">
        <v>45.58</v>
      </c>
      <c r="D882">
        <v>45.79</v>
      </c>
      <c r="E882">
        <v>45.06</v>
      </c>
      <c r="F882" t="s">
        <v>1804</v>
      </c>
      <c r="G882" s="50">
        <v>6.9999999999999999E-4</v>
      </c>
    </row>
    <row r="883" spans="1:7" x14ac:dyDescent="0.25">
      <c r="A883" t="s">
        <v>1805</v>
      </c>
      <c r="B883">
        <v>45.43</v>
      </c>
      <c r="C883">
        <v>45.3</v>
      </c>
      <c r="D883">
        <v>45.64</v>
      </c>
      <c r="E883">
        <v>45.05</v>
      </c>
      <c r="F883" t="s">
        <v>1109</v>
      </c>
      <c r="G883" s="50">
        <v>-4.5999999999999999E-3</v>
      </c>
    </row>
    <row r="884" spans="1:7" x14ac:dyDescent="0.25">
      <c r="A884" t="s">
        <v>1806</v>
      </c>
      <c r="B884">
        <v>45.64</v>
      </c>
      <c r="C884">
        <v>44.69</v>
      </c>
      <c r="D884">
        <v>45.71</v>
      </c>
      <c r="E884">
        <v>44.65</v>
      </c>
      <c r="F884" t="s">
        <v>1696</v>
      </c>
      <c r="G884" s="50">
        <v>2.75E-2</v>
      </c>
    </row>
    <row r="885" spans="1:7" x14ac:dyDescent="0.25">
      <c r="A885" t="s">
        <v>1807</v>
      </c>
      <c r="B885">
        <v>44.42</v>
      </c>
      <c r="C885">
        <v>44.77</v>
      </c>
      <c r="D885">
        <v>45.09</v>
      </c>
      <c r="E885">
        <v>44.36</v>
      </c>
      <c r="F885" t="s">
        <v>489</v>
      </c>
      <c r="G885" s="50">
        <v>8.9999999999999998E-4</v>
      </c>
    </row>
    <row r="886" spans="1:7" x14ac:dyDescent="0.25">
      <c r="A886" t="s">
        <v>1808</v>
      </c>
      <c r="B886">
        <v>44.38</v>
      </c>
      <c r="C886">
        <v>44.93</v>
      </c>
      <c r="D886">
        <v>45.23</v>
      </c>
      <c r="E886">
        <v>44.28</v>
      </c>
      <c r="F886" t="s">
        <v>1809</v>
      </c>
      <c r="G886" s="50">
        <v>5.0000000000000001E-4</v>
      </c>
    </row>
    <row r="887" spans="1:7" x14ac:dyDescent="0.25">
      <c r="A887" t="s">
        <v>1810</v>
      </c>
      <c r="B887">
        <v>44.36</v>
      </c>
      <c r="C887">
        <v>43.34</v>
      </c>
      <c r="D887">
        <v>44.4</v>
      </c>
      <c r="E887">
        <v>43.2</v>
      </c>
      <c r="F887" t="s">
        <v>1811</v>
      </c>
      <c r="G887" s="50">
        <v>1.8800000000000001E-2</v>
      </c>
    </row>
    <row r="888" spans="1:7" x14ac:dyDescent="0.25">
      <c r="A888" t="s">
        <v>1812</v>
      </c>
      <c r="B888">
        <v>43.54</v>
      </c>
      <c r="C888">
        <v>43.12</v>
      </c>
      <c r="D888">
        <v>43.73</v>
      </c>
      <c r="E888">
        <v>42.9</v>
      </c>
      <c r="F888" t="s">
        <v>1181</v>
      </c>
      <c r="G888" s="50">
        <v>1.7299999999999999E-2</v>
      </c>
    </row>
    <row r="889" spans="1:7" x14ac:dyDescent="0.25">
      <c r="A889" t="s">
        <v>1813</v>
      </c>
      <c r="B889">
        <v>42.8</v>
      </c>
      <c r="C889">
        <v>41.85</v>
      </c>
      <c r="D889">
        <v>42.97</v>
      </c>
      <c r="E889">
        <v>41.81</v>
      </c>
      <c r="F889" t="s">
        <v>1814</v>
      </c>
      <c r="G889" s="50">
        <v>2.6100000000000002E-2</v>
      </c>
    </row>
    <row r="890" spans="1:7" x14ac:dyDescent="0.25">
      <c r="A890" t="s">
        <v>1815</v>
      </c>
      <c r="B890">
        <v>41.71</v>
      </c>
      <c r="C890">
        <v>41.56</v>
      </c>
      <c r="D890">
        <v>42.62</v>
      </c>
      <c r="E890">
        <v>41.45</v>
      </c>
      <c r="F890" t="s">
        <v>578</v>
      </c>
      <c r="G890" s="50">
        <v>-4.1000000000000003E-3</v>
      </c>
    </row>
    <row r="891" spans="1:7" x14ac:dyDescent="0.25">
      <c r="A891" t="s">
        <v>1816</v>
      </c>
      <c r="B891">
        <v>41.88</v>
      </c>
      <c r="C891">
        <v>41.63</v>
      </c>
      <c r="D891">
        <v>42.23</v>
      </c>
      <c r="E891">
        <v>41.47</v>
      </c>
      <c r="F891" t="s">
        <v>1564</v>
      </c>
      <c r="G891" s="50">
        <v>2.2000000000000001E-3</v>
      </c>
    </row>
    <row r="892" spans="1:7" x14ac:dyDescent="0.25">
      <c r="A892" t="s">
        <v>1817</v>
      </c>
      <c r="B892">
        <v>41.79</v>
      </c>
      <c r="C892">
        <v>41.92</v>
      </c>
      <c r="D892">
        <v>42.22</v>
      </c>
      <c r="E892">
        <v>41.26</v>
      </c>
      <c r="F892" t="s">
        <v>1818</v>
      </c>
      <c r="G892" s="50">
        <v>1.1900000000000001E-2</v>
      </c>
    </row>
    <row r="893" spans="1:7" x14ac:dyDescent="0.25">
      <c r="A893" t="s">
        <v>1819</v>
      </c>
      <c r="B893">
        <v>41.3</v>
      </c>
      <c r="C893">
        <v>41.04</v>
      </c>
      <c r="D893">
        <v>41.52</v>
      </c>
      <c r="E893">
        <v>40.950000000000003</v>
      </c>
      <c r="F893" t="s">
        <v>1820</v>
      </c>
      <c r="G893" s="50">
        <v>2.7400000000000001E-2</v>
      </c>
    </row>
    <row r="894" spans="1:7" x14ac:dyDescent="0.25">
      <c r="A894" t="s">
        <v>1821</v>
      </c>
      <c r="B894">
        <v>40.200000000000003</v>
      </c>
      <c r="C894">
        <v>40.840000000000003</v>
      </c>
      <c r="D894">
        <v>40.96</v>
      </c>
      <c r="E894">
        <v>39.92</v>
      </c>
      <c r="F894" t="s">
        <v>1511</v>
      </c>
      <c r="G894" s="50">
        <v>-1.01E-2</v>
      </c>
    </row>
    <row r="895" spans="1:7" x14ac:dyDescent="0.25">
      <c r="A895" t="s">
        <v>1822</v>
      </c>
      <c r="B895">
        <v>40.61</v>
      </c>
      <c r="C895">
        <v>39.03</v>
      </c>
      <c r="D895">
        <v>40.799999999999997</v>
      </c>
      <c r="E895">
        <v>38.6</v>
      </c>
      <c r="F895" t="s">
        <v>1514</v>
      </c>
      <c r="G895" s="50">
        <v>3.4099999999999998E-2</v>
      </c>
    </row>
    <row r="896" spans="1:7" x14ac:dyDescent="0.25">
      <c r="A896" t="s">
        <v>1823</v>
      </c>
      <c r="B896">
        <v>39.270000000000003</v>
      </c>
      <c r="C896">
        <v>39.700000000000003</v>
      </c>
      <c r="D896">
        <v>39.86</v>
      </c>
      <c r="E896">
        <v>39.25</v>
      </c>
      <c r="F896" t="s">
        <v>1824</v>
      </c>
      <c r="G896" s="50">
        <v>-7.7999999999999996E-3</v>
      </c>
    </row>
    <row r="897" spans="1:7" x14ac:dyDescent="0.25">
      <c r="A897" t="s">
        <v>1825</v>
      </c>
      <c r="B897">
        <v>39.58</v>
      </c>
      <c r="C897">
        <v>39.81</v>
      </c>
      <c r="D897">
        <v>40.11</v>
      </c>
      <c r="E897">
        <v>39.270000000000003</v>
      </c>
      <c r="F897" t="s">
        <v>1826</v>
      </c>
      <c r="G897" s="50">
        <v>-7.7999999999999996E-3</v>
      </c>
    </row>
    <row r="898" spans="1:7" x14ac:dyDescent="0.25">
      <c r="A898" t="s">
        <v>1827</v>
      </c>
      <c r="B898">
        <v>39.89</v>
      </c>
      <c r="C898">
        <v>40.619999999999997</v>
      </c>
      <c r="D898">
        <v>40.799999999999997</v>
      </c>
      <c r="E898">
        <v>39.6</v>
      </c>
      <c r="F898" t="s">
        <v>1542</v>
      </c>
      <c r="G898" s="50">
        <v>-9.4000000000000004E-3</v>
      </c>
    </row>
    <row r="899" spans="1:7" x14ac:dyDescent="0.25">
      <c r="A899" t="s">
        <v>1828</v>
      </c>
      <c r="B899">
        <v>40.270000000000003</v>
      </c>
      <c r="C899">
        <v>41.25</v>
      </c>
      <c r="D899">
        <v>41.25</v>
      </c>
      <c r="E899">
        <v>40.08</v>
      </c>
      <c r="F899" t="s">
        <v>1829</v>
      </c>
      <c r="G899" s="50">
        <v>-3.0099999999999998E-2</v>
      </c>
    </row>
    <row r="900" spans="1:7" x14ac:dyDescent="0.25">
      <c r="A900" t="s">
        <v>1830</v>
      </c>
      <c r="B900">
        <v>41.52</v>
      </c>
      <c r="C900">
        <v>41.65</v>
      </c>
      <c r="D900">
        <v>42.09</v>
      </c>
      <c r="E900">
        <v>41.37</v>
      </c>
      <c r="F900" t="s">
        <v>1831</v>
      </c>
      <c r="G900" s="50">
        <v>-1.12E-2</v>
      </c>
    </row>
    <row r="901" spans="1:7" x14ac:dyDescent="0.25">
      <c r="A901" t="s">
        <v>1832</v>
      </c>
      <c r="B901">
        <v>41.99</v>
      </c>
      <c r="C901">
        <v>41.59</v>
      </c>
      <c r="D901">
        <v>42.25</v>
      </c>
      <c r="E901">
        <v>41.4</v>
      </c>
      <c r="F901" t="s">
        <v>1833</v>
      </c>
      <c r="G901" s="50">
        <v>4.1000000000000003E-3</v>
      </c>
    </row>
    <row r="902" spans="1:7" x14ac:dyDescent="0.25">
      <c r="A902" t="s">
        <v>1834</v>
      </c>
      <c r="B902">
        <v>41.82</v>
      </c>
      <c r="C902">
        <v>41.56</v>
      </c>
      <c r="D902">
        <v>42.03</v>
      </c>
      <c r="E902">
        <v>41.39</v>
      </c>
      <c r="F902" t="s">
        <v>1835</v>
      </c>
      <c r="G902" s="50">
        <v>1.2800000000000001E-2</v>
      </c>
    </row>
    <row r="903" spans="1:7" x14ac:dyDescent="0.25">
      <c r="A903" t="s">
        <v>1836</v>
      </c>
      <c r="B903">
        <v>41.29</v>
      </c>
      <c r="C903">
        <v>40.67</v>
      </c>
      <c r="D903">
        <v>41.53</v>
      </c>
      <c r="E903">
        <v>40.47</v>
      </c>
      <c r="F903" t="s">
        <v>475</v>
      </c>
      <c r="G903" s="50">
        <v>3.2300000000000002E-2</v>
      </c>
    </row>
    <row r="904" spans="1:7" x14ac:dyDescent="0.25">
      <c r="A904" t="s">
        <v>1837</v>
      </c>
      <c r="B904">
        <v>40</v>
      </c>
      <c r="C904">
        <v>40.659999999999997</v>
      </c>
      <c r="D904">
        <v>41.04</v>
      </c>
      <c r="E904">
        <v>39.96</v>
      </c>
      <c r="F904" t="s">
        <v>1838</v>
      </c>
      <c r="G904" s="50">
        <v>-1.4E-2</v>
      </c>
    </row>
    <row r="905" spans="1:7" x14ac:dyDescent="0.25">
      <c r="A905" t="s">
        <v>1839</v>
      </c>
      <c r="B905">
        <v>40.57</v>
      </c>
      <c r="C905">
        <v>41.05</v>
      </c>
      <c r="D905">
        <v>41.1</v>
      </c>
      <c r="E905">
        <v>40.15</v>
      </c>
      <c r="F905" t="s">
        <v>1840</v>
      </c>
      <c r="G905" s="50">
        <v>-1.8599999999999998E-2</v>
      </c>
    </row>
    <row r="906" spans="1:7" x14ac:dyDescent="0.25">
      <c r="A906" t="s">
        <v>1841</v>
      </c>
      <c r="B906">
        <v>41.34</v>
      </c>
      <c r="C906">
        <v>40.85</v>
      </c>
      <c r="D906">
        <v>41.57</v>
      </c>
      <c r="E906">
        <v>40.590000000000003</v>
      </c>
      <c r="F906" t="s">
        <v>1842</v>
      </c>
      <c r="G906" s="50">
        <v>2.0199999999999999E-2</v>
      </c>
    </row>
    <row r="907" spans="1:7" x14ac:dyDescent="0.25">
      <c r="A907" t="s">
        <v>1843</v>
      </c>
      <c r="B907">
        <v>40.520000000000003</v>
      </c>
      <c r="C907">
        <v>41.14</v>
      </c>
      <c r="D907">
        <v>41.46</v>
      </c>
      <c r="E907">
        <v>40.229999999999997</v>
      </c>
      <c r="F907" t="s">
        <v>1844</v>
      </c>
      <c r="G907" s="50">
        <v>-1.5E-3</v>
      </c>
    </row>
    <row r="908" spans="1:7" x14ac:dyDescent="0.25">
      <c r="A908" t="s">
        <v>1845</v>
      </c>
      <c r="B908">
        <v>40.58</v>
      </c>
      <c r="C908">
        <v>40.659999999999997</v>
      </c>
      <c r="D908">
        <v>41.19</v>
      </c>
      <c r="E908">
        <v>40.369999999999997</v>
      </c>
      <c r="F908" t="s">
        <v>1846</v>
      </c>
      <c r="G908" s="50">
        <v>-2E-3</v>
      </c>
    </row>
    <row r="909" spans="1:7" x14ac:dyDescent="0.25">
      <c r="A909" t="s">
        <v>1847</v>
      </c>
      <c r="B909">
        <v>40.659999999999997</v>
      </c>
      <c r="C909">
        <v>41.25</v>
      </c>
      <c r="D909">
        <v>41.25</v>
      </c>
      <c r="E909">
        <v>40.119999999999997</v>
      </c>
      <c r="F909" t="s">
        <v>1564</v>
      </c>
      <c r="G909" s="50">
        <v>-1.1900000000000001E-2</v>
      </c>
    </row>
    <row r="910" spans="1:7" x14ac:dyDescent="0.25">
      <c r="A910" t="s">
        <v>1848</v>
      </c>
      <c r="B910">
        <v>41.15</v>
      </c>
      <c r="C910">
        <v>41.34</v>
      </c>
      <c r="D910">
        <v>41.55</v>
      </c>
      <c r="E910">
        <v>41.14</v>
      </c>
      <c r="F910" t="s">
        <v>1849</v>
      </c>
      <c r="G910" s="50">
        <v>-1.06E-2</v>
      </c>
    </row>
    <row r="911" spans="1:7" x14ac:dyDescent="0.25">
      <c r="A911" t="s">
        <v>1850</v>
      </c>
      <c r="B911">
        <v>41.59</v>
      </c>
      <c r="C911">
        <v>42.32</v>
      </c>
      <c r="D911">
        <v>42.87</v>
      </c>
      <c r="E911">
        <v>41.57</v>
      </c>
      <c r="F911" t="s">
        <v>1851</v>
      </c>
      <c r="G911" s="50">
        <v>-2.3300000000000001E-2</v>
      </c>
    </row>
    <row r="912" spans="1:7" x14ac:dyDescent="0.25">
      <c r="A912" t="s">
        <v>1852</v>
      </c>
      <c r="B912">
        <v>42.58</v>
      </c>
      <c r="C912">
        <v>43.01</v>
      </c>
      <c r="D912">
        <v>43.02</v>
      </c>
      <c r="E912">
        <v>42.26</v>
      </c>
      <c r="F912" t="s">
        <v>1853</v>
      </c>
      <c r="G912" s="50">
        <v>-1.66E-2</v>
      </c>
    </row>
    <row r="913" spans="1:7" x14ac:dyDescent="0.25">
      <c r="A913" t="s">
        <v>1854</v>
      </c>
      <c r="B913">
        <v>43.3</v>
      </c>
      <c r="C913">
        <v>42.9</v>
      </c>
      <c r="D913">
        <v>43.44</v>
      </c>
      <c r="E913">
        <v>42.76</v>
      </c>
      <c r="F913" t="s">
        <v>1855</v>
      </c>
      <c r="G913" s="50">
        <v>0</v>
      </c>
    </row>
    <row r="914" spans="1:7" x14ac:dyDescent="0.25">
      <c r="A914" t="s">
        <v>1856</v>
      </c>
      <c r="B914">
        <v>43.3</v>
      </c>
      <c r="C914">
        <v>43.11</v>
      </c>
      <c r="D914">
        <v>43.58</v>
      </c>
      <c r="E914">
        <v>42.78</v>
      </c>
      <c r="F914" t="s">
        <v>1857</v>
      </c>
      <c r="G914" s="50">
        <v>2.0000000000000001E-4</v>
      </c>
    </row>
    <row r="915" spans="1:7" x14ac:dyDescent="0.25">
      <c r="A915" t="s">
        <v>1858</v>
      </c>
      <c r="B915">
        <v>43.29</v>
      </c>
      <c r="C915">
        <v>43.81</v>
      </c>
      <c r="D915">
        <v>43.87</v>
      </c>
      <c r="E915">
        <v>43.09</v>
      </c>
      <c r="F915" t="s">
        <v>1859</v>
      </c>
      <c r="G915" s="50">
        <v>-1.52E-2</v>
      </c>
    </row>
    <row r="916" spans="1:7" x14ac:dyDescent="0.25">
      <c r="A916" t="s">
        <v>1860</v>
      </c>
      <c r="B916">
        <v>43.96</v>
      </c>
      <c r="C916">
        <v>44.04</v>
      </c>
      <c r="D916">
        <v>44.27</v>
      </c>
      <c r="E916">
        <v>43.56</v>
      </c>
      <c r="F916" t="s">
        <v>1861</v>
      </c>
      <c r="G916" s="50">
        <v>-3.3999999999999998E-3</v>
      </c>
    </row>
    <row r="917" spans="1:7" x14ac:dyDescent="0.25">
      <c r="A917" t="s">
        <v>1862</v>
      </c>
      <c r="B917">
        <v>44.11</v>
      </c>
      <c r="C917">
        <v>45.72</v>
      </c>
      <c r="D917">
        <v>45.91</v>
      </c>
      <c r="E917">
        <v>44.02</v>
      </c>
      <c r="F917" t="s">
        <v>1863</v>
      </c>
      <c r="G917" s="50">
        <v>-4.9399999999999999E-2</v>
      </c>
    </row>
    <row r="918" spans="1:7" x14ac:dyDescent="0.25">
      <c r="A918" t="s">
        <v>1864</v>
      </c>
      <c r="B918">
        <v>46.4</v>
      </c>
      <c r="C918">
        <v>46.11</v>
      </c>
      <c r="D918">
        <v>46.73</v>
      </c>
      <c r="E918">
        <v>45.97</v>
      </c>
      <c r="F918" t="s">
        <v>1865</v>
      </c>
      <c r="G918" s="50">
        <v>1.38E-2</v>
      </c>
    </row>
    <row r="919" spans="1:7" x14ac:dyDescent="0.25">
      <c r="A919" t="s">
        <v>1866</v>
      </c>
      <c r="B919">
        <v>45.77</v>
      </c>
      <c r="C919">
        <v>45.66</v>
      </c>
      <c r="D919">
        <v>45.89</v>
      </c>
      <c r="E919">
        <v>45.4</v>
      </c>
      <c r="F919" t="s">
        <v>1546</v>
      </c>
      <c r="G919" s="50">
        <v>8.8000000000000005E-3</v>
      </c>
    </row>
    <row r="920" spans="1:7" x14ac:dyDescent="0.25">
      <c r="A920" t="s">
        <v>1867</v>
      </c>
      <c r="B920">
        <v>45.37</v>
      </c>
      <c r="C920">
        <v>44.76</v>
      </c>
      <c r="D920">
        <v>45.47</v>
      </c>
      <c r="E920">
        <v>44.62</v>
      </c>
      <c r="F920" t="s">
        <v>1192</v>
      </c>
      <c r="G920" s="50">
        <v>7.7999999999999996E-3</v>
      </c>
    </row>
    <row r="921" spans="1:7" x14ac:dyDescent="0.25">
      <c r="A921" t="s">
        <v>1868</v>
      </c>
      <c r="B921">
        <v>45.02</v>
      </c>
      <c r="C921">
        <v>44.75</v>
      </c>
      <c r="D921">
        <v>45.16</v>
      </c>
      <c r="E921">
        <v>44.35</v>
      </c>
      <c r="F921" t="s">
        <v>1055</v>
      </c>
      <c r="G921" s="50">
        <v>1.24E-2</v>
      </c>
    </row>
    <row r="922" spans="1:7" x14ac:dyDescent="0.25">
      <c r="A922" t="s">
        <v>1869</v>
      </c>
      <c r="B922">
        <v>44.47</v>
      </c>
      <c r="C922">
        <v>44.66</v>
      </c>
      <c r="D922">
        <v>44.79</v>
      </c>
      <c r="E922">
        <v>43.98</v>
      </c>
      <c r="F922" t="s">
        <v>1870</v>
      </c>
      <c r="G922" s="50">
        <v>-2.7000000000000001E-3</v>
      </c>
    </row>
    <row r="923" spans="1:7" x14ac:dyDescent="0.25">
      <c r="A923" t="s">
        <v>1871</v>
      </c>
      <c r="B923">
        <v>44.59</v>
      </c>
      <c r="C923">
        <v>45.71</v>
      </c>
      <c r="D923">
        <v>45.92</v>
      </c>
      <c r="E923">
        <v>44.27</v>
      </c>
      <c r="F923" t="s">
        <v>307</v>
      </c>
      <c r="G923" s="50">
        <v>-1.55E-2</v>
      </c>
    </row>
    <row r="924" spans="1:7" x14ac:dyDescent="0.25">
      <c r="A924" t="s">
        <v>1872</v>
      </c>
      <c r="B924">
        <v>45.29</v>
      </c>
      <c r="C924">
        <v>44.57</v>
      </c>
      <c r="D924">
        <v>45.34</v>
      </c>
      <c r="E924">
        <v>44.4</v>
      </c>
      <c r="F924" t="s">
        <v>1873</v>
      </c>
      <c r="G924" s="50">
        <v>1.2699999999999999E-2</v>
      </c>
    </row>
    <row r="925" spans="1:7" x14ac:dyDescent="0.25">
      <c r="A925" t="s">
        <v>1874</v>
      </c>
      <c r="B925">
        <v>44.72</v>
      </c>
      <c r="C925">
        <v>45.78</v>
      </c>
      <c r="D925">
        <v>45.83</v>
      </c>
      <c r="E925">
        <v>44.59</v>
      </c>
      <c r="F925" t="s">
        <v>1875</v>
      </c>
      <c r="G925" s="50">
        <v>-1.15E-2</v>
      </c>
    </row>
    <row r="926" spans="1:7" x14ac:dyDescent="0.25">
      <c r="A926" t="s">
        <v>1876</v>
      </c>
      <c r="B926">
        <v>45.24</v>
      </c>
      <c r="C926">
        <v>45.75</v>
      </c>
      <c r="D926">
        <v>45.87</v>
      </c>
      <c r="E926">
        <v>44.96</v>
      </c>
      <c r="F926" t="s">
        <v>1877</v>
      </c>
      <c r="G926" s="50">
        <v>-1.03E-2</v>
      </c>
    </row>
    <row r="927" spans="1:7" x14ac:dyDescent="0.25">
      <c r="A927" t="s">
        <v>1878</v>
      </c>
      <c r="B927">
        <v>45.71</v>
      </c>
      <c r="C927">
        <v>45.72</v>
      </c>
      <c r="D927">
        <v>46</v>
      </c>
      <c r="E927">
        <v>45.49</v>
      </c>
      <c r="F927" t="s">
        <v>277</v>
      </c>
      <c r="G927" s="50">
        <v>-3.8999999999999998E-3</v>
      </c>
    </row>
    <row r="928" spans="1:7" x14ac:dyDescent="0.25">
      <c r="A928" t="s">
        <v>1879</v>
      </c>
      <c r="B928">
        <v>45.89</v>
      </c>
      <c r="C928">
        <v>47.08</v>
      </c>
      <c r="D928">
        <v>47.27</v>
      </c>
      <c r="E928">
        <v>45.88</v>
      </c>
      <c r="F928" t="s">
        <v>1194</v>
      </c>
      <c r="G928" s="50">
        <v>-2.92E-2</v>
      </c>
    </row>
    <row r="929" spans="1:7" x14ac:dyDescent="0.25">
      <c r="A929" t="s">
        <v>1880</v>
      </c>
      <c r="B929">
        <v>47.27</v>
      </c>
      <c r="C929">
        <v>47.25</v>
      </c>
      <c r="D929">
        <v>47.43</v>
      </c>
      <c r="E929">
        <v>46.84</v>
      </c>
      <c r="F929" t="s">
        <v>744</v>
      </c>
      <c r="G929" s="50">
        <v>4.1999999999999997E-3</v>
      </c>
    </row>
    <row r="930" spans="1:7" x14ac:dyDescent="0.25">
      <c r="A930" t="s">
        <v>1881</v>
      </c>
      <c r="B930">
        <v>47.07</v>
      </c>
      <c r="C930">
        <v>47.09</v>
      </c>
      <c r="D930">
        <v>47.41</v>
      </c>
      <c r="E930">
        <v>46.87</v>
      </c>
      <c r="F930" t="s">
        <v>568</v>
      </c>
      <c r="G930" s="50">
        <v>-7.1999999999999998E-3</v>
      </c>
    </row>
    <row r="931" spans="1:7" x14ac:dyDescent="0.25">
      <c r="A931" t="s">
        <v>1882</v>
      </c>
      <c r="B931">
        <v>47.41</v>
      </c>
      <c r="C931">
        <v>47.59</v>
      </c>
      <c r="D931">
        <v>48.04</v>
      </c>
      <c r="E931">
        <v>47.39</v>
      </c>
      <c r="F931" t="s">
        <v>1631</v>
      </c>
      <c r="G931" s="50">
        <v>-6.3E-3</v>
      </c>
    </row>
    <row r="932" spans="1:7" x14ac:dyDescent="0.25">
      <c r="A932" t="s">
        <v>1883</v>
      </c>
      <c r="B932">
        <v>47.71</v>
      </c>
      <c r="C932">
        <v>48.47</v>
      </c>
      <c r="D932">
        <v>48.5</v>
      </c>
      <c r="E932">
        <v>47.52</v>
      </c>
      <c r="F932" t="s">
        <v>1278</v>
      </c>
      <c r="G932" s="50">
        <v>-2.0299999999999999E-2</v>
      </c>
    </row>
    <row r="933" spans="1:7" x14ac:dyDescent="0.25">
      <c r="A933" t="s">
        <v>1884</v>
      </c>
      <c r="B933">
        <v>48.7</v>
      </c>
      <c r="C933">
        <v>49.01</v>
      </c>
      <c r="D933">
        <v>49.46</v>
      </c>
      <c r="E933">
        <v>48.53</v>
      </c>
      <c r="F933" t="s">
        <v>1885</v>
      </c>
      <c r="G933" s="50">
        <v>-1.3599999999999999E-2</v>
      </c>
    </row>
    <row r="934" spans="1:7" x14ac:dyDescent="0.25">
      <c r="A934" t="s">
        <v>1886</v>
      </c>
      <c r="B934">
        <v>49.37</v>
      </c>
      <c r="C934">
        <v>49.8</v>
      </c>
      <c r="D934">
        <v>50</v>
      </c>
      <c r="E934">
        <v>49.11</v>
      </c>
      <c r="F934" t="s">
        <v>1887</v>
      </c>
      <c r="G934" s="50">
        <v>5.8099999999999999E-2</v>
      </c>
    </row>
    <row r="935" spans="1:7" x14ac:dyDescent="0.25">
      <c r="A935" t="s">
        <v>1888</v>
      </c>
      <c r="B935">
        <v>46.66</v>
      </c>
      <c r="C935">
        <v>46.36</v>
      </c>
      <c r="D935">
        <v>47.1</v>
      </c>
      <c r="E935">
        <v>46.23</v>
      </c>
      <c r="F935" t="s">
        <v>1889</v>
      </c>
      <c r="G935" s="50">
        <v>-2.3999999999999998E-3</v>
      </c>
    </row>
    <row r="936" spans="1:7" x14ac:dyDescent="0.25">
      <c r="A936" t="s">
        <v>1890</v>
      </c>
      <c r="B936">
        <v>46.77</v>
      </c>
      <c r="C936">
        <v>46.57</v>
      </c>
      <c r="D936">
        <v>47.01</v>
      </c>
      <c r="E936">
        <v>46.44</v>
      </c>
      <c r="F936" t="s">
        <v>792</v>
      </c>
      <c r="G936" s="50">
        <v>3.8999999999999998E-3</v>
      </c>
    </row>
    <row r="937" spans="1:7" x14ac:dyDescent="0.25">
      <c r="A937" t="s">
        <v>1891</v>
      </c>
      <c r="B937">
        <v>46.59</v>
      </c>
      <c r="C937">
        <v>46.39</v>
      </c>
      <c r="D937">
        <v>46.62</v>
      </c>
      <c r="E937">
        <v>46.02</v>
      </c>
      <c r="F937" t="s">
        <v>1130</v>
      </c>
      <c r="G937" s="50">
        <v>-4.0000000000000002E-4</v>
      </c>
    </row>
    <row r="938" spans="1:7" x14ac:dyDescent="0.25">
      <c r="A938" t="s">
        <v>1892</v>
      </c>
      <c r="B938">
        <v>46.61</v>
      </c>
      <c r="C938">
        <v>46.09</v>
      </c>
      <c r="D938">
        <v>46.61</v>
      </c>
      <c r="E938">
        <v>45.97</v>
      </c>
      <c r="F938" t="s">
        <v>1893</v>
      </c>
      <c r="G938" s="50">
        <v>1.55E-2</v>
      </c>
    </row>
    <row r="939" spans="1:7" x14ac:dyDescent="0.25">
      <c r="A939" t="s">
        <v>1894</v>
      </c>
      <c r="B939">
        <v>45.9</v>
      </c>
      <c r="C939">
        <v>46.11</v>
      </c>
      <c r="D939">
        <v>46.42</v>
      </c>
      <c r="E939">
        <v>45.77</v>
      </c>
      <c r="F939" t="s">
        <v>1426</v>
      </c>
      <c r="G939" s="50">
        <v>-2.5999999999999999E-3</v>
      </c>
    </row>
    <row r="940" spans="1:7" x14ac:dyDescent="0.25">
      <c r="A940" t="s">
        <v>1895</v>
      </c>
      <c r="B940">
        <v>46.02</v>
      </c>
      <c r="C940">
        <v>45.71</v>
      </c>
      <c r="D940">
        <v>46.06</v>
      </c>
      <c r="E940">
        <v>45.43</v>
      </c>
      <c r="F940" t="s">
        <v>786</v>
      </c>
      <c r="G940" s="50">
        <v>2.4500000000000001E-2</v>
      </c>
    </row>
    <row r="941" spans="1:7" x14ac:dyDescent="0.25">
      <c r="A941" t="s">
        <v>1896</v>
      </c>
      <c r="B941">
        <v>44.92</v>
      </c>
      <c r="C941">
        <v>45.15</v>
      </c>
      <c r="D941">
        <v>45.18</v>
      </c>
      <c r="E941">
        <v>44.72</v>
      </c>
      <c r="F941" t="s">
        <v>1897</v>
      </c>
      <c r="G941" s="50">
        <v>-2.2000000000000001E-3</v>
      </c>
    </row>
    <row r="942" spans="1:7" x14ac:dyDescent="0.25">
      <c r="A942" t="s">
        <v>1898</v>
      </c>
      <c r="B942">
        <v>45.02</v>
      </c>
      <c r="C942">
        <v>45.49</v>
      </c>
      <c r="D942">
        <v>45.52</v>
      </c>
      <c r="E942">
        <v>44.85</v>
      </c>
      <c r="F942" t="s">
        <v>1899</v>
      </c>
      <c r="G942" s="50">
        <v>2.0000000000000001E-4</v>
      </c>
    </row>
    <row r="943" spans="1:7" x14ac:dyDescent="0.25">
      <c r="A943" t="s">
        <v>1900</v>
      </c>
      <c r="B943">
        <v>45.01</v>
      </c>
      <c r="C943">
        <v>44.91</v>
      </c>
      <c r="D943">
        <v>45.07</v>
      </c>
      <c r="E943">
        <v>44.54</v>
      </c>
      <c r="F943" t="s">
        <v>1901</v>
      </c>
      <c r="G943" s="50">
        <v>-8.2000000000000007E-3</v>
      </c>
    </row>
    <row r="944" spans="1:7" x14ac:dyDescent="0.25">
      <c r="A944" t="s">
        <v>1902</v>
      </c>
      <c r="B944">
        <v>45.38</v>
      </c>
      <c r="C944">
        <v>45.9</v>
      </c>
      <c r="D944">
        <v>45.93</v>
      </c>
      <c r="E944">
        <v>45.01</v>
      </c>
      <c r="F944" t="s">
        <v>1903</v>
      </c>
      <c r="G944" s="50">
        <v>-7.1999999999999998E-3</v>
      </c>
    </row>
    <row r="945" spans="1:7" x14ac:dyDescent="0.25">
      <c r="A945" t="s">
        <v>1904</v>
      </c>
      <c r="B945">
        <v>45.71</v>
      </c>
      <c r="C945">
        <v>44.9</v>
      </c>
      <c r="D945">
        <v>45.82</v>
      </c>
      <c r="E945">
        <v>44.79</v>
      </c>
      <c r="F945" t="s">
        <v>1905</v>
      </c>
      <c r="G945" s="50">
        <v>1.7600000000000001E-2</v>
      </c>
    </row>
    <row r="946" spans="1:7" x14ac:dyDescent="0.25">
      <c r="A946" t="s">
        <v>1906</v>
      </c>
      <c r="B946">
        <v>44.92</v>
      </c>
      <c r="C946">
        <v>45.52</v>
      </c>
      <c r="D946">
        <v>45.7</v>
      </c>
      <c r="E946">
        <v>44.9</v>
      </c>
      <c r="F946" t="s">
        <v>634</v>
      </c>
      <c r="G946" s="50">
        <v>-8.0000000000000002E-3</v>
      </c>
    </row>
    <row r="947" spans="1:7" x14ac:dyDescent="0.25">
      <c r="A947" s="38" t="s">
        <v>1907</v>
      </c>
      <c r="B947" s="38">
        <v>45.28</v>
      </c>
      <c r="C947">
        <v>45.06</v>
      </c>
      <c r="D947">
        <v>45.43</v>
      </c>
      <c r="E947">
        <v>44.76</v>
      </c>
      <c r="F947" t="s">
        <v>1908</v>
      </c>
      <c r="G947" s="50">
        <v>-2E-3</v>
      </c>
    </row>
    <row r="948" spans="1:7" x14ac:dyDescent="0.25">
      <c r="A948" t="s">
        <v>1909</v>
      </c>
      <c r="B948">
        <v>45.37</v>
      </c>
      <c r="C948">
        <v>45.11</v>
      </c>
      <c r="D948">
        <v>45.49</v>
      </c>
      <c r="E948">
        <v>44.83</v>
      </c>
      <c r="F948" t="s">
        <v>708</v>
      </c>
      <c r="G948" s="50">
        <v>-5.4999999999999997E-3</v>
      </c>
    </row>
    <row r="949" spans="1:7" x14ac:dyDescent="0.25">
      <c r="A949" t="s">
        <v>1910</v>
      </c>
      <c r="B949">
        <v>45.62</v>
      </c>
      <c r="C949">
        <v>44.88</v>
      </c>
      <c r="D949">
        <v>45.87</v>
      </c>
      <c r="E949">
        <v>44.71</v>
      </c>
      <c r="F949" t="s">
        <v>1911</v>
      </c>
      <c r="G949" s="50">
        <v>2.1999999999999999E-2</v>
      </c>
    </row>
    <row r="950" spans="1:7" x14ac:dyDescent="0.25">
      <c r="A950" t="s">
        <v>1912</v>
      </c>
      <c r="B950">
        <v>44.64</v>
      </c>
      <c r="C950">
        <v>44.19</v>
      </c>
      <c r="D950">
        <v>44.79</v>
      </c>
      <c r="E950">
        <v>43.83</v>
      </c>
      <c r="F950" t="s">
        <v>483</v>
      </c>
      <c r="G950" s="50">
        <v>1.8499999999999999E-2</v>
      </c>
    </row>
    <row r="951" spans="1:7" x14ac:dyDescent="0.25">
      <c r="A951" t="s">
        <v>1913</v>
      </c>
      <c r="B951">
        <v>43.83</v>
      </c>
      <c r="C951">
        <v>44.37</v>
      </c>
      <c r="D951">
        <v>44.54</v>
      </c>
      <c r="E951">
        <v>43.75</v>
      </c>
      <c r="F951" t="s">
        <v>1914</v>
      </c>
      <c r="G951" s="50">
        <v>-1.15E-2</v>
      </c>
    </row>
    <row r="952" spans="1:7" x14ac:dyDescent="0.25">
      <c r="A952" t="s">
        <v>1915</v>
      </c>
      <c r="B952">
        <v>44.34</v>
      </c>
      <c r="C952">
        <v>44.66</v>
      </c>
      <c r="D952">
        <v>44.66</v>
      </c>
      <c r="E952">
        <v>44.11</v>
      </c>
      <c r="F952" t="s">
        <v>878</v>
      </c>
      <c r="G952" s="50">
        <v>-2.7000000000000001E-3</v>
      </c>
    </row>
    <row r="953" spans="1:7" x14ac:dyDescent="0.25">
      <c r="A953" t="s">
        <v>1916</v>
      </c>
      <c r="B953">
        <v>44.46</v>
      </c>
      <c r="C953">
        <v>44.78</v>
      </c>
      <c r="D953">
        <v>44.92</v>
      </c>
      <c r="E953">
        <v>44.25</v>
      </c>
      <c r="F953" t="s">
        <v>1917</v>
      </c>
      <c r="G953" s="50">
        <v>-2.7000000000000001E-3</v>
      </c>
    </row>
    <row r="954" spans="1:7" x14ac:dyDescent="0.25">
      <c r="A954" t="s">
        <v>1918</v>
      </c>
      <c r="B954">
        <v>44.58</v>
      </c>
      <c r="C954">
        <v>44.29</v>
      </c>
      <c r="D954">
        <v>44.69</v>
      </c>
      <c r="E954">
        <v>44.07</v>
      </c>
      <c r="F954" t="s">
        <v>1919</v>
      </c>
      <c r="G954" s="50">
        <v>1.0200000000000001E-2</v>
      </c>
    </row>
    <row r="955" spans="1:7" x14ac:dyDescent="0.25">
      <c r="A955" t="s">
        <v>1920</v>
      </c>
      <c r="B955">
        <v>44.13</v>
      </c>
      <c r="C955">
        <v>44.08</v>
      </c>
      <c r="D955">
        <v>44.31</v>
      </c>
      <c r="E955">
        <v>43.66</v>
      </c>
      <c r="F955" t="s">
        <v>694</v>
      </c>
      <c r="G955" s="50">
        <v>2.3E-3</v>
      </c>
    </row>
    <row r="956" spans="1:7" x14ac:dyDescent="0.25">
      <c r="A956" t="s">
        <v>1921</v>
      </c>
      <c r="B956">
        <v>44.03</v>
      </c>
      <c r="C956">
        <v>42.82</v>
      </c>
      <c r="D956">
        <v>44.09</v>
      </c>
      <c r="E956">
        <v>42.65</v>
      </c>
      <c r="F956" t="s">
        <v>1922</v>
      </c>
      <c r="G956" s="50">
        <v>3.3599999999999998E-2</v>
      </c>
    </row>
    <row r="957" spans="1:7" x14ac:dyDescent="0.25">
      <c r="A957" t="s">
        <v>1923</v>
      </c>
      <c r="B957">
        <v>42.6</v>
      </c>
      <c r="C957">
        <v>43.3</v>
      </c>
      <c r="D957">
        <v>43.32</v>
      </c>
      <c r="E957">
        <v>42.41</v>
      </c>
      <c r="F957" t="s">
        <v>1924</v>
      </c>
      <c r="G957" s="50">
        <v>-1.09E-2</v>
      </c>
    </row>
    <row r="958" spans="1:7" x14ac:dyDescent="0.25">
      <c r="A958" t="s">
        <v>1925</v>
      </c>
      <c r="B958">
        <v>43.07</v>
      </c>
      <c r="C958">
        <v>42.5</v>
      </c>
      <c r="D958">
        <v>43.13</v>
      </c>
      <c r="E958">
        <v>42.5</v>
      </c>
      <c r="F958" t="s">
        <v>492</v>
      </c>
      <c r="G958" s="50">
        <v>1.7500000000000002E-2</v>
      </c>
    </row>
    <row r="959" spans="1:7" x14ac:dyDescent="0.25">
      <c r="A959" t="s">
        <v>1926</v>
      </c>
      <c r="B959">
        <v>42.33</v>
      </c>
      <c r="C959">
        <v>41.79</v>
      </c>
      <c r="D959">
        <v>42.47</v>
      </c>
      <c r="E959">
        <v>41.35</v>
      </c>
      <c r="F959" t="s">
        <v>1927</v>
      </c>
      <c r="G959" s="50">
        <v>-8.6999999999999994E-3</v>
      </c>
    </row>
    <row r="960" spans="1:7" x14ac:dyDescent="0.25">
      <c r="A960" t="s">
        <v>1928</v>
      </c>
      <c r="B960">
        <v>42.7</v>
      </c>
      <c r="C960">
        <v>41.85</v>
      </c>
      <c r="D960">
        <v>43.05</v>
      </c>
      <c r="E960">
        <v>41.8</v>
      </c>
      <c r="F960" t="s">
        <v>1929</v>
      </c>
      <c r="G960" s="50">
        <v>-3.7000000000000002E-3</v>
      </c>
    </row>
    <row r="961" spans="1:7" x14ac:dyDescent="0.25">
      <c r="A961" t="s">
        <v>1930</v>
      </c>
      <c r="B961">
        <v>42.86</v>
      </c>
      <c r="C961">
        <v>43.58</v>
      </c>
      <c r="D961">
        <v>43.83</v>
      </c>
      <c r="E961">
        <v>42.66</v>
      </c>
      <c r="F961" t="s">
        <v>1931</v>
      </c>
      <c r="G961" s="50">
        <v>-8.9999999999999993E-3</v>
      </c>
    </row>
    <row r="962" spans="1:7" x14ac:dyDescent="0.25">
      <c r="A962" t="s">
        <v>1932</v>
      </c>
      <c r="B962">
        <v>43.25</v>
      </c>
      <c r="C962">
        <v>43.34</v>
      </c>
      <c r="D962">
        <v>43.68</v>
      </c>
      <c r="E962">
        <v>43.07</v>
      </c>
      <c r="F962" t="s">
        <v>1933</v>
      </c>
      <c r="G962" s="50">
        <v>-3.2000000000000002E-3</v>
      </c>
    </row>
    <row r="963" spans="1:7" x14ac:dyDescent="0.25">
      <c r="A963" t="s">
        <v>1934</v>
      </c>
      <c r="B963">
        <v>43.39</v>
      </c>
      <c r="C963">
        <v>43.03</v>
      </c>
      <c r="D963">
        <v>43.6</v>
      </c>
      <c r="E963">
        <v>42.94</v>
      </c>
      <c r="F963" t="s">
        <v>1439</v>
      </c>
      <c r="G963" s="50">
        <v>3.8999999999999998E-3</v>
      </c>
    </row>
    <row r="964" spans="1:7" x14ac:dyDescent="0.25">
      <c r="A964" t="s">
        <v>1935</v>
      </c>
      <c r="B964">
        <v>43.22</v>
      </c>
      <c r="C964">
        <v>42.88</v>
      </c>
      <c r="D964">
        <v>43.36</v>
      </c>
      <c r="E964">
        <v>42.79</v>
      </c>
      <c r="F964" t="s">
        <v>1936</v>
      </c>
      <c r="G964" s="50">
        <v>1.24E-2</v>
      </c>
    </row>
    <row r="965" spans="1:7" x14ac:dyDescent="0.25">
      <c r="A965" t="s">
        <v>1937</v>
      </c>
      <c r="B965">
        <v>42.69</v>
      </c>
      <c r="C965">
        <v>42.12</v>
      </c>
      <c r="D965">
        <v>42.93</v>
      </c>
      <c r="E965">
        <v>42.01</v>
      </c>
      <c r="F965" t="s">
        <v>1672</v>
      </c>
      <c r="G965" s="50">
        <v>1.7399999999999999E-2</v>
      </c>
    </row>
    <row r="966" spans="1:7" x14ac:dyDescent="0.25">
      <c r="A966" t="s">
        <v>1938</v>
      </c>
      <c r="B966">
        <v>41.96</v>
      </c>
      <c r="C966">
        <v>41.52</v>
      </c>
      <c r="D966">
        <v>41.97</v>
      </c>
      <c r="E966">
        <v>40.82</v>
      </c>
      <c r="F966" t="s">
        <v>1939</v>
      </c>
      <c r="G966" s="50">
        <v>-1.4999999999999999E-2</v>
      </c>
    </row>
    <row r="967" spans="1:7" x14ac:dyDescent="0.25">
      <c r="A967" t="s">
        <v>1940</v>
      </c>
      <c r="B967">
        <v>42.6</v>
      </c>
      <c r="C967">
        <v>42.52</v>
      </c>
      <c r="D967">
        <v>42.7</v>
      </c>
      <c r="E967">
        <v>41.57</v>
      </c>
      <c r="F967" t="s">
        <v>1941</v>
      </c>
      <c r="G967" s="50">
        <v>-8.9999999999999998E-4</v>
      </c>
    </row>
    <row r="968" spans="1:7" x14ac:dyDescent="0.25">
      <c r="A968" t="s">
        <v>1942</v>
      </c>
      <c r="B968">
        <v>42.64</v>
      </c>
      <c r="C968">
        <v>42.37</v>
      </c>
      <c r="D968">
        <v>43.14</v>
      </c>
      <c r="E968">
        <v>42.19</v>
      </c>
      <c r="F968" t="s">
        <v>1943</v>
      </c>
      <c r="G968" s="50">
        <v>-5.5999999999999999E-3</v>
      </c>
    </row>
    <row r="969" spans="1:7" x14ac:dyDescent="0.25">
      <c r="A969" t="s">
        <v>1944</v>
      </c>
      <c r="B969">
        <v>42.88</v>
      </c>
      <c r="C969">
        <v>43.14</v>
      </c>
      <c r="D969">
        <v>43.26</v>
      </c>
      <c r="E969">
        <v>42.69</v>
      </c>
      <c r="F969" t="s">
        <v>805</v>
      </c>
      <c r="G969" s="50">
        <v>-4.1999999999999997E-3</v>
      </c>
    </row>
    <row r="970" spans="1:7" x14ac:dyDescent="0.25">
      <c r="A970" t="s">
        <v>1945</v>
      </c>
      <c r="B970">
        <v>43.06</v>
      </c>
      <c r="C970">
        <v>43.91</v>
      </c>
      <c r="D970">
        <v>44.47</v>
      </c>
      <c r="E970">
        <v>42.99</v>
      </c>
      <c r="F970" t="s">
        <v>1946</v>
      </c>
      <c r="G970" s="50">
        <v>-1.6199999999999999E-2</v>
      </c>
    </row>
    <row r="971" spans="1:7" x14ac:dyDescent="0.25">
      <c r="A971" t="s">
        <v>1947</v>
      </c>
      <c r="B971">
        <v>43.77</v>
      </c>
      <c r="C971">
        <v>44.29</v>
      </c>
      <c r="D971">
        <v>44.29</v>
      </c>
      <c r="E971">
        <v>43.62</v>
      </c>
      <c r="F971" t="s">
        <v>1948</v>
      </c>
      <c r="G971" s="50">
        <v>-7.4999999999999997E-3</v>
      </c>
    </row>
    <row r="972" spans="1:7" x14ac:dyDescent="0.25">
      <c r="A972" t="s">
        <v>1949</v>
      </c>
      <c r="B972">
        <v>44.1</v>
      </c>
      <c r="C972">
        <v>43.44</v>
      </c>
      <c r="D972">
        <v>44.22</v>
      </c>
      <c r="E972">
        <v>43.24</v>
      </c>
      <c r="F972" t="s">
        <v>1950</v>
      </c>
      <c r="G972" s="50">
        <v>2.7300000000000001E-2</v>
      </c>
    </row>
    <row r="973" spans="1:7" x14ac:dyDescent="0.25">
      <c r="A973" t="s">
        <v>1951</v>
      </c>
      <c r="B973">
        <v>42.93</v>
      </c>
      <c r="C973">
        <v>43.41</v>
      </c>
      <c r="D973">
        <v>43.46</v>
      </c>
      <c r="E973">
        <v>42.72</v>
      </c>
      <c r="F973" t="s">
        <v>1952</v>
      </c>
      <c r="G973" s="50">
        <v>-1.47E-2</v>
      </c>
    </row>
    <row r="974" spans="1:7" x14ac:dyDescent="0.25">
      <c r="A974" t="s">
        <v>1953</v>
      </c>
      <c r="B974">
        <v>43.57</v>
      </c>
      <c r="C974">
        <v>43.47</v>
      </c>
      <c r="D974">
        <v>44.12</v>
      </c>
      <c r="E974">
        <v>43.17</v>
      </c>
      <c r="F974" t="s">
        <v>1148</v>
      </c>
      <c r="G974" s="50">
        <v>-1.29E-2</v>
      </c>
    </row>
    <row r="975" spans="1:7" x14ac:dyDescent="0.25">
      <c r="A975" t="s">
        <v>1954</v>
      </c>
      <c r="B975">
        <v>44.14</v>
      </c>
      <c r="C975">
        <v>43.8</v>
      </c>
      <c r="D975">
        <v>44.28</v>
      </c>
      <c r="E975">
        <v>43.7</v>
      </c>
      <c r="F975" t="s">
        <v>1955</v>
      </c>
      <c r="G975" s="50">
        <v>1.7299999999999999E-2</v>
      </c>
    </row>
    <row r="976" spans="1:7" x14ac:dyDescent="0.25">
      <c r="A976" t="s">
        <v>1956</v>
      </c>
      <c r="B976">
        <v>43.39</v>
      </c>
      <c r="C976">
        <v>43.36</v>
      </c>
      <c r="D976">
        <v>44</v>
      </c>
      <c r="E976">
        <v>43.24</v>
      </c>
      <c r="F976" t="s">
        <v>1957</v>
      </c>
      <c r="G976" s="50">
        <v>1.6000000000000001E-3</v>
      </c>
    </row>
    <row r="977" spans="1:7" x14ac:dyDescent="0.25">
      <c r="A977" t="s">
        <v>1958</v>
      </c>
      <c r="B977">
        <v>43.32</v>
      </c>
      <c r="C977">
        <v>42.81</v>
      </c>
      <c r="D977">
        <v>43.41</v>
      </c>
      <c r="E977">
        <v>42.81</v>
      </c>
      <c r="F977" t="s">
        <v>1959</v>
      </c>
      <c r="G977" s="50">
        <v>-1.0999999999999999E-2</v>
      </c>
    </row>
    <row r="978" spans="1:7" x14ac:dyDescent="0.25">
      <c r="A978" t="s">
        <v>1960</v>
      </c>
      <c r="B978">
        <v>43.8</v>
      </c>
      <c r="C978">
        <v>43.37</v>
      </c>
      <c r="D978">
        <v>44.42</v>
      </c>
      <c r="E978">
        <v>43.1</v>
      </c>
      <c r="F978" t="s">
        <v>1961</v>
      </c>
      <c r="G978" s="50">
        <v>2.07E-2</v>
      </c>
    </row>
    <row r="979" spans="1:7" x14ac:dyDescent="0.25">
      <c r="A979" t="s">
        <v>1962</v>
      </c>
      <c r="B979">
        <v>42.91</v>
      </c>
      <c r="C979">
        <v>43.63</v>
      </c>
      <c r="D979">
        <v>43.7</v>
      </c>
      <c r="E979">
        <v>42.57</v>
      </c>
      <c r="F979" t="s">
        <v>1540</v>
      </c>
      <c r="G979" s="50">
        <v>-7.6E-3</v>
      </c>
    </row>
    <row r="980" spans="1:7" x14ac:dyDescent="0.25">
      <c r="A980" t="s">
        <v>1963</v>
      </c>
      <c r="B980">
        <v>43.24</v>
      </c>
      <c r="C980">
        <v>43.06</v>
      </c>
      <c r="D980">
        <v>43.84</v>
      </c>
      <c r="E980">
        <v>42.89</v>
      </c>
      <c r="F980" t="s">
        <v>1964</v>
      </c>
      <c r="G980" s="50">
        <v>-5.7000000000000002E-3</v>
      </c>
    </row>
    <row r="981" spans="1:7" x14ac:dyDescent="0.25">
      <c r="A981" t="s">
        <v>1965</v>
      </c>
      <c r="B981">
        <v>43.49</v>
      </c>
      <c r="C981">
        <v>43.8</v>
      </c>
      <c r="D981">
        <v>43.99</v>
      </c>
      <c r="E981">
        <v>43.29</v>
      </c>
      <c r="F981" t="s">
        <v>1966</v>
      </c>
      <c r="G981" s="50">
        <v>-1.7399999999999999E-2</v>
      </c>
    </row>
    <row r="982" spans="1:7" x14ac:dyDescent="0.25">
      <c r="A982" t="s">
        <v>1967</v>
      </c>
      <c r="B982">
        <v>44.26</v>
      </c>
      <c r="C982">
        <v>44.83</v>
      </c>
      <c r="D982">
        <v>45.27</v>
      </c>
      <c r="E982">
        <v>44.24</v>
      </c>
      <c r="F982" t="s">
        <v>1968</v>
      </c>
      <c r="G982" s="50">
        <v>-1.47E-2</v>
      </c>
    </row>
    <row r="983" spans="1:7" x14ac:dyDescent="0.25">
      <c r="A983" t="s">
        <v>1969</v>
      </c>
      <c r="B983">
        <v>44.92</v>
      </c>
      <c r="C983">
        <v>45.45</v>
      </c>
      <c r="D983">
        <v>45.63</v>
      </c>
      <c r="E983">
        <v>44.88</v>
      </c>
      <c r="F983" t="s">
        <v>508</v>
      </c>
      <c r="G983" s="50">
        <v>-1.43E-2</v>
      </c>
    </row>
    <row r="984" spans="1:7" x14ac:dyDescent="0.25">
      <c r="A984" t="s">
        <v>1970</v>
      </c>
      <c r="B984">
        <v>45.57</v>
      </c>
      <c r="C984">
        <v>44.82</v>
      </c>
      <c r="D984">
        <v>45.65</v>
      </c>
      <c r="E984">
        <v>44.72</v>
      </c>
      <c r="F984" t="s">
        <v>621</v>
      </c>
      <c r="G984" s="50">
        <v>5.3E-3</v>
      </c>
    </row>
    <row r="985" spans="1:7" x14ac:dyDescent="0.25">
      <c r="A985" t="s">
        <v>1971</v>
      </c>
      <c r="B985">
        <v>45.33</v>
      </c>
      <c r="C985">
        <v>45.6</v>
      </c>
      <c r="D985">
        <v>46.09</v>
      </c>
      <c r="E985">
        <v>45.12</v>
      </c>
      <c r="F985" t="s">
        <v>1972</v>
      </c>
      <c r="G985" s="50">
        <v>1.8E-3</v>
      </c>
    </row>
    <row r="986" spans="1:7" x14ac:dyDescent="0.25">
      <c r="A986" t="s">
        <v>1973</v>
      </c>
      <c r="B986">
        <v>45.25</v>
      </c>
      <c r="C986">
        <v>45.55</v>
      </c>
      <c r="D986">
        <v>45.74</v>
      </c>
      <c r="E986">
        <v>45.12</v>
      </c>
      <c r="F986" t="s">
        <v>1974</v>
      </c>
      <c r="G986" s="50">
        <v>-1.18E-2</v>
      </c>
    </row>
    <row r="987" spans="1:7" x14ac:dyDescent="0.25">
      <c r="A987" t="s">
        <v>1975</v>
      </c>
      <c r="B987">
        <v>45.79</v>
      </c>
      <c r="C987">
        <v>45.18</v>
      </c>
      <c r="D987">
        <v>45.8</v>
      </c>
      <c r="E987">
        <v>44.9</v>
      </c>
      <c r="F987" t="s">
        <v>739</v>
      </c>
      <c r="G987" s="50">
        <v>1.24E-2</v>
      </c>
    </row>
    <row r="988" spans="1:7" x14ac:dyDescent="0.25">
      <c r="A988" t="s">
        <v>1976</v>
      </c>
      <c r="B988">
        <v>45.23</v>
      </c>
      <c r="C988">
        <v>45.55</v>
      </c>
      <c r="D988">
        <v>45.8</v>
      </c>
      <c r="E988">
        <v>44.77</v>
      </c>
      <c r="F988" t="s">
        <v>1977</v>
      </c>
      <c r="G988" s="50">
        <v>4.0000000000000001E-3</v>
      </c>
    </row>
    <row r="989" spans="1:7" x14ac:dyDescent="0.25">
      <c r="A989" t="s">
        <v>1978</v>
      </c>
      <c r="B989">
        <v>45.05</v>
      </c>
      <c r="C989">
        <v>45.27</v>
      </c>
      <c r="D989">
        <v>45.6</v>
      </c>
      <c r="E989">
        <v>44.73</v>
      </c>
      <c r="F989" t="s">
        <v>1979</v>
      </c>
      <c r="G989" s="50">
        <v>-1.2500000000000001E-2</v>
      </c>
    </row>
    <row r="990" spans="1:7" x14ac:dyDescent="0.25">
      <c r="A990" t="s">
        <v>1980</v>
      </c>
      <c r="B990">
        <v>45.62</v>
      </c>
      <c r="C990">
        <v>45.12</v>
      </c>
      <c r="D990">
        <v>45.64</v>
      </c>
      <c r="E990">
        <v>44.95</v>
      </c>
      <c r="F990" t="s">
        <v>855</v>
      </c>
      <c r="G990" s="50">
        <v>1.4E-2</v>
      </c>
    </row>
    <row r="991" spans="1:7" x14ac:dyDescent="0.25">
      <c r="A991" t="s">
        <v>1981</v>
      </c>
      <c r="B991">
        <v>44.99</v>
      </c>
      <c r="C991">
        <v>44.05</v>
      </c>
      <c r="D991">
        <v>45.53</v>
      </c>
      <c r="E991">
        <v>44.05</v>
      </c>
      <c r="F991" t="s">
        <v>1982</v>
      </c>
      <c r="G991" s="50">
        <v>2.2499999999999999E-2</v>
      </c>
    </row>
    <row r="992" spans="1:7" x14ac:dyDescent="0.25">
      <c r="A992" t="s">
        <v>1983</v>
      </c>
      <c r="B992">
        <v>44</v>
      </c>
      <c r="C992">
        <v>43.75</v>
      </c>
      <c r="D992">
        <v>44.42</v>
      </c>
      <c r="E992">
        <v>43.19</v>
      </c>
      <c r="F992" t="s">
        <v>1984</v>
      </c>
      <c r="G992" s="50">
        <v>5.3E-3</v>
      </c>
    </row>
    <row r="993" spans="1:7" x14ac:dyDescent="0.25">
      <c r="A993" t="s">
        <v>1985</v>
      </c>
      <c r="B993">
        <v>43.77</v>
      </c>
      <c r="C993">
        <v>43.4</v>
      </c>
      <c r="D993">
        <v>44.06</v>
      </c>
      <c r="E993">
        <v>42.5</v>
      </c>
      <c r="F993" t="s">
        <v>1986</v>
      </c>
      <c r="G993" s="50">
        <v>9.7000000000000003E-3</v>
      </c>
    </row>
    <row r="994" spans="1:7" x14ac:dyDescent="0.25">
      <c r="A994" t="s">
        <v>1987</v>
      </c>
      <c r="B994">
        <v>43.35</v>
      </c>
      <c r="C994">
        <v>43.34</v>
      </c>
      <c r="D994">
        <v>43.82</v>
      </c>
      <c r="E994">
        <v>42.94</v>
      </c>
      <c r="F994" t="s">
        <v>1988</v>
      </c>
      <c r="G994" s="50">
        <v>9.4999999999999998E-3</v>
      </c>
    </row>
    <row r="995" spans="1:7" x14ac:dyDescent="0.25">
      <c r="A995" t="s">
        <v>1989</v>
      </c>
      <c r="B995">
        <v>42.94</v>
      </c>
      <c r="C995">
        <v>41.86</v>
      </c>
      <c r="D995">
        <v>43</v>
      </c>
      <c r="E995">
        <v>41.52</v>
      </c>
      <c r="F995" t="s">
        <v>1990</v>
      </c>
      <c r="G995" s="50">
        <v>2.92E-2</v>
      </c>
    </row>
    <row r="996" spans="1:7" x14ac:dyDescent="0.25">
      <c r="A996" t="s">
        <v>1991</v>
      </c>
      <c r="B996">
        <v>41.72</v>
      </c>
      <c r="C996">
        <v>43.05</v>
      </c>
      <c r="D996">
        <v>43.93</v>
      </c>
      <c r="E996">
        <v>41.02</v>
      </c>
      <c r="F996" t="s">
        <v>1992</v>
      </c>
      <c r="G996" s="50">
        <v>-0.13730000000000001</v>
      </c>
    </row>
    <row r="997" spans="1:7" x14ac:dyDescent="0.25">
      <c r="A997" t="s">
        <v>1993</v>
      </c>
      <c r="B997">
        <v>48.36</v>
      </c>
      <c r="C997">
        <v>50.47</v>
      </c>
      <c r="D997">
        <v>50.47</v>
      </c>
      <c r="E997">
        <v>48.21</v>
      </c>
      <c r="F997" t="s">
        <v>1994</v>
      </c>
      <c r="G997" s="50">
        <v>-4.4299999999999999E-2</v>
      </c>
    </row>
    <row r="998" spans="1:7" x14ac:dyDescent="0.25">
      <c r="A998" t="s">
        <v>1995</v>
      </c>
      <c r="B998">
        <v>50.6</v>
      </c>
      <c r="C998">
        <v>49.68</v>
      </c>
      <c r="D998">
        <v>50.72</v>
      </c>
      <c r="E998">
        <v>49.51</v>
      </c>
      <c r="F998" t="s">
        <v>1996</v>
      </c>
      <c r="G998" s="50">
        <v>3.27E-2</v>
      </c>
    </row>
    <row r="999" spans="1:7" x14ac:dyDescent="0.25">
      <c r="A999" t="s">
        <v>1997</v>
      </c>
      <c r="B999">
        <v>49</v>
      </c>
      <c r="C999">
        <v>49.66</v>
      </c>
      <c r="D999">
        <v>49.66</v>
      </c>
      <c r="E999">
        <v>48.88</v>
      </c>
      <c r="F999" t="s">
        <v>1998</v>
      </c>
      <c r="G999" s="50">
        <v>-1.1299999999999999E-2</v>
      </c>
    </row>
    <row r="1000" spans="1:7" x14ac:dyDescent="0.25">
      <c r="A1000" t="s">
        <v>1999</v>
      </c>
      <c r="B1000">
        <v>49.56</v>
      </c>
      <c r="C1000">
        <v>48.71</v>
      </c>
      <c r="D1000">
        <v>49.63</v>
      </c>
      <c r="E1000">
        <v>48.53</v>
      </c>
      <c r="F1000" t="s">
        <v>2000</v>
      </c>
      <c r="G1000" s="50">
        <v>2.63E-2</v>
      </c>
    </row>
    <row r="1001" spans="1:7" x14ac:dyDescent="0.25">
      <c r="A1001" t="s">
        <v>2001</v>
      </c>
      <c r="B1001">
        <v>48.29</v>
      </c>
      <c r="C1001">
        <v>48.63</v>
      </c>
      <c r="D1001">
        <v>48.78</v>
      </c>
      <c r="E1001">
        <v>47.47</v>
      </c>
      <c r="F1001" t="s">
        <v>2002</v>
      </c>
      <c r="G1001" s="50">
        <v>-7.4000000000000003E-3</v>
      </c>
    </row>
    <row r="1002" spans="1:7" x14ac:dyDescent="0.25">
      <c r="A1002" t="s">
        <v>2003</v>
      </c>
      <c r="B1002">
        <v>48.65</v>
      </c>
      <c r="C1002">
        <v>49.09</v>
      </c>
      <c r="D1002">
        <v>49.64</v>
      </c>
      <c r="E1002">
        <v>48.58</v>
      </c>
      <c r="F1002" t="s">
        <v>2004</v>
      </c>
      <c r="G1002" s="50">
        <v>-1.8200000000000001E-2</v>
      </c>
    </row>
    <row r="1003" spans="1:7" x14ac:dyDescent="0.25">
      <c r="A1003" t="s">
        <v>2005</v>
      </c>
      <c r="B1003">
        <v>49.55</v>
      </c>
      <c r="C1003">
        <v>49.7</v>
      </c>
      <c r="D1003">
        <v>50.23</v>
      </c>
      <c r="E1003">
        <v>49.15</v>
      </c>
      <c r="F1003" t="s">
        <v>1506</v>
      </c>
      <c r="G1003" s="50">
        <v>1.21E-2</v>
      </c>
    </row>
    <row r="1004" spans="1:7" x14ac:dyDescent="0.25">
      <c r="A1004" t="s">
        <v>2006</v>
      </c>
      <c r="B1004">
        <v>48.96</v>
      </c>
      <c r="C1004">
        <v>49</v>
      </c>
      <c r="D1004">
        <v>49.42</v>
      </c>
      <c r="E1004">
        <v>48.67</v>
      </c>
      <c r="F1004" t="s">
        <v>994</v>
      </c>
      <c r="G1004" s="50">
        <v>-7.4999999999999997E-3</v>
      </c>
    </row>
    <row r="1005" spans="1:7" x14ac:dyDescent="0.25">
      <c r="A1005" t="s">
        <v>2007</v>
      </c>
      <c r="B1005">
        <v>49.33</v>
      </c>
      <c r="C1005">
        <v>49.15</v>
      </c>
      <c r="D1005">
        <v>49.84</v>
      </c>
      <c r="E1005">
        <v>48.85</v>
      </c>
      <c r="F1005" t="s">
        <v>1506</v>
      </c>
      <c r="G1005" s="50">
        <v>-5.5999999999999999E-3</v>
      </c>
    </row>
    <row r="1006" spans="1:7" x14ac:dyDescent="0.25">
      <c r="A1006" t="s">
        <v>2008</v>
      </c>
      <c r="B1006">
        <v>49.61</v>
      </c>
      <c r="C1006">
        <v>51.15</v>
      </c>
      <c r="D1006">
        <v>51.21</v>
      </c>
      <c r="E1006">
        <v>49.16</v>
      </c>
      <c r="F1006" t="s">
        <v>2009</v>
      </c>
      <c r="G1006" s="50">
        <v>-3.8199999999999998E-2</v>
      </c>
    </row>
    <row r="1007" spans="1:7" x14ac:dyDescent="0.25">
      <c r="A1007" t="s">
        <v>2010</v>
      </c>
      <c r="B1007">
        <v>51.58</v>
      </c>
      <c r="C1007">
        <v>50.03</v>
      </c>
      <c r="D1007">
        <v>51.66</v>
      </c>
      <c r="E1007">
        <v>49.67</v>
      </c>
      <c r="F1007" t="s">
        <v>356</v>
      </c>
      <c r="G1007" s="50">
        <v>3.3300000000000003E-2</v>
      </c>
    </row>
    <row r="1008" spans="1:7" x14ac:dyDescent="0.25">
      <c r="A1008" t="s">
        <v>2011</v>
      </c>
      <c r="B1008">
        <v>49.92</v>
      </c>
      <c r="C1008">
        <v>49.77</v>
      </c>
      <c r="D1008">
        <v>50.36</v>
      </c>
      <c r="E1008">
        <v>49.53</v>
      </c>
      <c r="F1008" t="s">
        <v>2012</v>
      </c>
      <c r="G1008" s="50">
        <v>1.1999999999999999E-3</v>
      </c>
    </row>
    <row r="1009" spans="1:7" x14ac:dyDescent="0.25">
      <c r="A1009" t="s">
        <v>2013</v>
      </c>
      <c r="B1009">
        <v>49.86</v>
      </c>
      <c r="C1009">
        <v>49.34</v>
      </c>
      <c r="D1009">
        <v>49.91</v>
      </c>
      <c r="E1009">
        <v>48.93</v>
      </c>
      <c r="F1009" t="s">
        <v>1540</v>
      </c>
      <c r="G1009" s="50">
        <v>1.7999999999999999E-2</v>
      </c>
    </row>
    <row r="1010" spans="1:7" x14ac:dyDescent="0.25">
      <c r="A1010" t="s">
        <v>2014</v>
      </c>
      <c r="B1010">
        <v>48.98</v>
      </c>
      <c r="C1010">
        <v>50.51</v>
      </c>
      <c r="D1010">
        <v>50.64</v>
      </c>
      <c r="E1010">
        <v>48.87</v>
      </c>
      <c r="F1010" t="s">
        <v>544</v>
      </c>
      <c r="G1010" s="50">
        <v>-3.2599999999999997E-2</v>
      </c>
    </row>
    <row r="1011" spans="1:7" x14ac:dyDescent="0.25">
      <c r="A1011" t="s">
        <v>2015</v>
      </c>
      <c r="B1011">
        <v>50.63</v>
      </c>
      <c r="C1011">
        <v>49.53</v>
      </c>
      <c r="D1011">
        <v>50.78</v>
      </c>
      <c r="E1011">
        <v>49.2</v>
      </c>
      <c r="F1011" t="s">
        <v>1066</v>
      </c>
      <c r="G1011" s="50">
        <v>2.6800000000000001E-2</v>
      </c>
    </row>
    <row r="1012" spans="1:7" x14ac:dyDescent="0.25">
      <c r="A1012" t="s">
        <v>2016</v>
      </c>
      <c r="B1012">
        <v>49.31</v>
      </c>
      <c r="C1012">
        <v>50.91</v>
      </c>
      <c r="D1012">
        <v>51.11</v>
      </c>
      <c r="E1012">
        <v>49.24</v>
      </c>
      <c r="F1012" t="s">
        <v>2017</v>
      </c>
      <c r="G1012" s="50">
        <v>-3.1199999999999999E-2</v>
      </c>
    </row>
    <row r="1013" spans="1:7" x14ac:dyDescent="0.25">
      <c r="A1013" t="s">
        <v>2018</v>
      </c>
      <c r="B1013">
        <v>50.9</v>
      </c>
      <c r="C1013">
        <v>51.88</v>
      </c>
      <c r="D1013">
        <v>51.94</v>
      </c>
      <c r="E1013">
        <v>50.87</v>
      </c>
      <c r="F1013" t="s">
        <v>945</v>
      </c>
      <c r="G1013" s="50">
        <v>-0.02</v>
      </c>
    </row>
    <row r="1014" spans="1:7" x14ac:dyDescent="0.25">
      <c r="A1014" t="s">
        <v>2019</v>
      </c>
      <c r="B1014">
        <v>51.94</v>
      </c>
      <c r="C1014">
        <v>51.45</v>
      </c>
      <c r="D1014">
        <v>51.98</v>
      </c>
      <c r="E1014">
        <v>50.54</v>
      </c>
      <c r="F1014" t="s">
        <v>1015</v>
      </c>
      <c r="G1014" s="50">
        <v>1.1299999999999999E-2</v>
      </c>
    </row>
    <row r="1015" spans="1:7" x14ac:dyDescent="0.25">
      <c r="A1015" t="s">
        <v>2020</v>
      </c>
      <c r="B1015">
        <v>51.36</v>
      </c>
      <c r="C1015">
        <v>52.92</v>
      </c>
      <c r="D1015">
        <v>52.96</v>
      </c>
      <c r="E1015">
        <v>51.29</v>
      </c>
      <c r="F1015" t="s">
        <v>1488</v>
      </c>
      <c r="G1015" s="50">
        <v>-2.69E-2</v>
      </c>
    </row>
    <row r="1016" spans="1:7" x14ac:dyDescent="0.25">
      <c r="A1016" t="s">
        <v>2021</v>
      </c>
      <c r="B1016">
        <v>52.78</v>
      </c>
      <c r="C1016">
        <v>53.34</v>
      </c>
      <c r="D1016">
        <v>53.83</v>
      </c>
      <c r="E1016">
        <v>52.73</v>
      </c>
      <c r="F1016" t="s">
        <v>2022</v>
      </c>
      <c r="G1016" s="50">
        <v>-4.4999999999999997E-3</v>
      </c>
    </row>
    <row r="1017" spans="1:7" x14ac:dyDescent="0.25">
      <c r="A1017" t="s">
        <v>2023</v>
      </c>
      <c r="B1017">
        <v>53.02</v>
      </c>
      <c r="C1017">
        <v>52.22</v>
      </c>
      <c r="D1017">
        <v>53.67</v>
      </c>
      <c r="E1017">
        <v>52.15</v>
      </c>
      <c r="F1017" t="s">
        <v>1901</v>
      </c>
      <c r="G1017" s="50">
        <v>2.3E-2</v>
      </c>
    </row>
    <row r="1018" spans="1:7" x14ac:dyDescent="0.25">
      <c r="A1018" t="s">
        <v>2024</v>
      </c>
      <c r="B1018">
        <v>51.83</v>
      </c>
      <c r="C1018">
        <v>51</v>
      </c>
      <c r="D1018">
        <v>51.94</v>
      </c>
      <c r="E1018">
        <v>50.92</v>
      </c>
      <c r="F1018" t="s">
        <v>778</v>
      </c>
      <c r="G1018" s="50">
        <v>1.41E-2</v>
      </c>
    </row>
    <row r="1019" spans="1:7" x14ac:dyDescent="0.25">
      <c r="A1019" t="s">
        <v>2025</v>
      </c>
      <c r="B1019">
        <v>51.11</v>
      </c>
      <c r="C1019">
        <v>50.88</v>
      </c>
      <c r="D1019">
        <v>51.56</v>
      </c>
      <c r="E1019">
        <v>50.8</v>
      </c>
      <c r="F1019" t="s">
        <v>1310</v>
      </c>
      <c r="G1019" s="50">
        <v>-1.1999999999999999E-3</v>
      </c>
    </row>
    <row r="1020" spans="1:7" x14ac:dyDescent="0.25">
      <c r="A1020" t="s">
        <v>2026</v>
      </c>
      <c r="B1020">
        <v>51.17</v>
      </c>
      <c r="C1020">
        <v>52.08</v>
      </c>
      <c r="D1020">
        <v>52.38</v>
      </c>
      <c r="E1020">
        <v>51.12</v>
      </c>
      <c r="F1020" t="s">
        <v>418</v>
      </c>
      <c r="G1020" s="50">
        <v>-1.8800000000000001E-2</v>
      </c>
    </row>
    <row r="1021" spans="1:7" x14ac:dyDescent="0.25">
      <c r="A1021" t="s">
        <v>2027</v>
      </c>
      <c r="B1021">
        <v>52.15</v>
      </c>
      <c r="C1021">
        <v>51.84</v>
      </c>
      <c r="D1021">
        <v>52.36</v>
      </c>
      <c r="E1021">
        <v>51.41</v>
      </c>
      <c r="F1021" t="s">
        <v>2028</v>
      </c>
      <c r="G1021" s="50">
        <v>6.4000000000000003E-3</v>
      </c>
    </row>
    <row r="1022" spans="1:7" x14ac:dyDescent="0.25">
      <c r="A1022" t="s">
        <v>2029</v>
      </c>
      <c r="B1022">
        <v>51.82</v>
      </c>
      <c r="C1022">
        <v>51.7</v>
      </c>
      <c r="D1022">
        <v>52.95</v>
      </c>
      <c r="E1022">
        <v>51.48</v>
      </c>
      <c r="F1022" t="s">
        <v>2030</v>
      </c>
      <c r="G1022" s="50">
        <v>-0.02</v>
      </c>
    </row>
    <row r="1023" spans="1:7" x14ac:dyDescent="0.25">
      <c r="A1023" t="s">
        <v>2031</v>
      </c>
      <c r="B1023">
        <v>52.88</v>
      </c>
      <c r="C1023">
        <v>53.92</v>
      </c>
      <c r="D1023">
        <v>53.95</v>
      </c>
      <c r="E1023">
        <v>52.78</v>
      </c>
      <c r="F1023" t="s">
        <v>391</v>
      </c>
      <c r="G1023" s="50">
        <v>-2.58E-2</v>
      </c>
    </row>
    <row r="1024" spans="1:7" x14ac:dyDescent="0.25">
      <c r="A1024" t="s">
        <v>2032</v>
      </c>
      <c r="B1024">
        <v>54.28</v>
      </c>
      <c r="C1024">
        <v>54.84</v>
      </c>
      <c r="D1024">
        <v>54.91</v>
      </c>
      <c r="E1024">
        <v>54.01</v>
      </c>
      <c r="F1024" t="s">
        <v>1859</v>
      </c>
      <c r="G1024" s="50">
        <v>-6.4000000000000003E-3</v>
      </c>
    </row>
    <row r="1025" spans="1:7" x14ac:dyDescent="0.25">
      <c r="A1025" t="s">
        <v>2033</v>
      </c>
      <c r="B1025">
        <v>54.63</v>
      </c>
      <c r="C1025">
        <v>54.43</v>
      </c>
      <c r="D1025">
        <v>54.85</v>
      </c>
      <c r="E1025">
        <v>53.73</v>
      </c>
      <c r="F1025" t="s">
        <v>435</v>
      </c>
      <c r="G1025" s="50">
        <v>4.7999999999999996E-3</v>
      </c>
    </row>
    <row r="1026" spans="1:7" x14ac:dyDescent="0.25">
      <c r="A1026" t="s">
        <v>2034</v>
      </c>
      <c r="B1026">
        <v>54.37</v>
      </c>
      <c r="C1026">
        <v>54.69</v>
      </c>
      <c r="D1026">
        <v>54.76</v>
      </c>
      <c r="E1026">
        <v>53.84</v>
      </c>
      <c r="F1026" t="s">
        <v>1699</v>
      </c>
      <c r="G1026" s="50">
        <v>-0.01</v>
      </c>
    </row>
    <row r="1027" spans="1:7" x14ac:dyDescent="0.25">
      <c r="A1027" t="s">
        <v>2035</v>
      </c>
      <c r="B1027">
        <v>54.92</v>
      </c>
      <c r="C1027">
        <v>55.2</v>
      </c>
      <c r="D1027">
        <v>55.59</v>
      </c>
      <c r="E1027">
        <v>54.66</v>
      </c>
      <c r="F1027" t="s">
        <v>2036</v>
      </c>
      <c r="G1027" s="50">
        <v>-1.7000000000000001E-2</v>
      </c>
    </row>
    <row r="1028" spans="1:7" x14ac:dyDescent="0.25">
      <c r="A1028" t="s">
        <v>2037</v>
      </c>
      <c r="B1028">
        <v>55.87</v>
      </c>
      <c r="C1028">
        <v>55.46</v>
      </c>
      <c r="D1028">
        <v>56.12</v>
      </c>
      <c r="E1028">
        <v>54.99</v>
      </c>
      <c r="F1028" t="s">
        <v>1798</v>
      </c>
      <c r="G1028" s="50">
        <v>3.8E-3</v>
      </c>
    </row>
    <row r="1029" spans="1:7" x14ac:dyDescent="0.25">
      <c r="A1029" t="s">
        <v>2038</v>
      </c>
      <c r="B1029">
        <v>55.66</v>
      </c>
      <c r="C1029">
        <v>56.17</v>
      </c>
      <c r="D1029">
        <v>56.19</v>
      </c>
      <c r="E1029">
        <v>54.88</v>
      </c>
      <c r="F1029" t="s">
        <v>2039</v>
      </c>
      <c r="G1029" s="50">
        <v>-1.8E-3</v>
      </c>
    </row>
    <row r="1030" spans="1:7" x14ac:dyDescent="0.25">
      <c r="A1030" t="s">
        <v>2040</v>
      </c>
      <c r="B1030">
        <v>55.76</v>
      </c>
      <c r="C1030">
        <v>56.04</v>
      </c>
      <c r="D1030">
        <v>56.88</v>
      </c>
      <c r="E1030">
        <v>55.72</v>
      </c>
      <c r="F1030" t="s">
        <v>2041</v>
      </c>
      <c r="G1030" s="50">
        <v>-5.1999999999999998E-3</v>
      </c>
    </row>
    <row r="1031" spans="1:7" x14ac:dyDescent="0.25">
      <c r="A1031" t="s">
        <v>2042</v>
      </c>
      <c r="B1031">
        <v>56.05</v>
      </c>
      <c r="C1031">
        <v>55.75</v>
      </c>
      <c r="D1031">
        <v>56.94</v>
      </c>
      <c r="E1031">
        <v>55.59</v>
      </c>
      <c r="F1031" t="s">
        <v>2043</v>
      </c>
      <c r="G1031" s="50">
        <v>6.7999999999999996E-3</v>
      </c>
    </row>
    <row r="1032" spans="1:7" x14ac:dyDescent="0.25">
      <c r="A1032" t="s">
        <v>2044</v>
      </c>
      <c r="B1032">
        <v>55.67</v>
      </c>
      <c r="C1032">
        <v>55.67</v>
      </c>
      <c r="D1032">
        <v>56.31</v>
      </c>
      <c r="E1032">
        <v>55.04</v>
      </c>
      <c r="F1032" t="s">
        <v>2045</v>
      </c>
      <c r="G1032" s="50">
        <v>9.5999999999999992E-3</v>
      </c>
    </row>
    <row r="1033" spans="1:7" x14ac:dyDescent="0.25">
      <c r="A1033" t="s">
        <v>2046</v>
      </c>
      <c r="B1033">
        <v>55.14</v>
      </c>
      <c r="C1033">
        <v>54.8</v>
      </c>
      <c r="D1033">
        <v>55.16</v>
      </c>
      <c r="E1033">
        <v>54.42</v>
      </c>
      <c r="F1033" t="s">
        <v>2047</v>
      </c>
      <c r="G1033" s="50">
        <v>3.0999999999999999E-3</v>
      </c>
    </row>
    <row r="1034" spans="1:7" x14ac:dyDescent="0.25">
      <c r="A1034" t="s">
        <v>2048</v>
      </c>
      <c r="B1034">
        <v>54.97</v>
      </c>
      <c r="C1034">
        <v>54.6</v>
      </c>
      <c r="D1034">
        <v>55.18</v>
      </c>
      <c r="E1034">
        <v>54.4</v>
      </c>
      <c r="F1034" t="s">
        <v>2049</v>
      </c>
      <c r="G1034" s="50">
        <v>8.6E-3</v>
      </c>
    </row>
    <row r="1035" spans="1:7" x14ac:dyDescent="0.25">
      <c r="A1035" t="s">
        <v>2050</v>
      </c>
      <c r="B1035">
        <v>54.5</v>
      </c>
      <c r="C1035">
        <v>54.67</v>
      </c>
      <c r="D1035">
        <v>54.69</v>
      </c>
      <c r="E1035">
        <v>53.68</v>
      </c>
      <c r="F1035" t="s">
        <v>739</v>
      </c>
      <c r="G1035" s="50">
        <v>4.0000000000000002E-4</v>
      </c>
    </row>
    <row r="1036" spans="1:7" x14ac:dyDescent="0.25">
      <c r="A1036" t="s">
        <v>2051</v>
      </c>
      <c r="B1036">
        <v>54.48</v>
      </c>
      <c r="C1036">
        <v>55.9</v>
      </c>
      <c r="D1036">
        <v>56.09</v>
      </c>
      <c r="E1036">
        <v>54.45</v>
      </c>
      <c r="F1036" t="s">
        <v>2052</v>
      </c>
      <c r="G1036" s="50">
        <v>-3.0099999999999998E-2</v>
      </c>
    </row>
    <row r="1037" spans="1:7" x14ac:dyDescent="0.25">
      <c r="A1037" t="s">
        <v>2053</v>
      </c>
      <c r="B1037">
        <v>56.17</v>
      </c>
      <c r="C1037">
        <v>56.36</v>
      </c>
      <c r="D1037">
        <v>56.72</v>
      </c>
      <c r="E1037">
        <v>56.09</v>
      </c>
      <c r="F1037" t="s">
        <v>2054</v>
      </c>
      <c r="G1037" s="50">
        <v>3.0000000000000001E-3</v>
      </c>
    </row>
    <row r="1038" spans="1:7" x14ac:dyDescent="0.25">
      <c r="A1038" t="s">
        <v>2055</v>
      </c>
      <c r="B1038">
        <v>56</v>
      </c>
      <c r="C1038">
        <v>56.06</v>
      </c>
      <c r="D1038">
        <v>56.55</v>
      </c>
      <c r="E1038">
        <v>55.52</v>
      </c>
      <c r="F1038" t="s">
        <v>2056</v>
      </c>
      <c r="G1038" s="50">
        <v>5.0000000000000001E-4</v>
      </c>
    </row>
    <row r="1039" spans="1:7" x14ac:dyDescent="0.25">
      <c r="A1039" t="s">
        <v>2057</v>
      </c>
      <c r="B1039">
        <v>55.97</v>
      </c>
      <c r="C1039">
        <v>56.03</v>
      </c>
      <c r="D1039">
        <v>56.42</v>
      </c>
      <c r="E1039">
        <v>55.54</v>
      </c>
      <c r="F1039" t="s">
        <v>2058</v>
      </c>
      <c r="G1039" s="50">
        <v>-3.5999999999999999E-3</v>
      </c>
    </row>
    <row r="1040" spans="1:7" x14ac:dyDescent="0.25">
      <c r="A1040" t="s">
        <v>2059</v>
      </c>
      <c r="B1040">
        <v>56.17</v>
      </c>
      <c r="C1040">
        <v>55.49</v>
      </c>
      <c r="D1040">
        <v>56.3</v>
      </c>
      <c r="E1040">
        <v>55.35</v>
      </c>
      <c r="F1040" t="s">
        <v>303</v>
      </c>
      <c r="G1040" s="50">
        <v>6.4999999999999997E-3</v>
      </c>
    </row>
    <row r="1041" spans="1:7" x14ac:dyDescent="0.25">
      <c r="A1041" t="s">
        <v>2060</v>
      </c>
      <c r="B1041">
        <v>55.81</v>
      </c>
      <c r="C1041">
        <v>55.93</v>
      </c>
      <c r="D1041">
        <v>56</v>
      </c>
      <c r="E1041">
        <v>54.6</v>
      </c>
      <c r="F1041" t="s">
        <v>2061</v>
      </c>
      <c r="G1041" s="50">
        <v>3.8E-3</v>
      </c>
    </row>
    <row r="1042" spans="1:7" x14ac:dyDescent="0.25">
      <c r="A1042" t="s">
        <v>2062</v>
      </c>
      <c r="B1042">
        <v>55.6</v>
      </c>
      <c r="C1042">
        <v>54.42</v>
      </c>
      <c r="D1042">
        <v>55.73</v>
      </c>
      <c r="E1042">
        <v>54.42</v>
      </c>
      <c r="F1042" t="s">
        <v>303</v>
      </c>
      <c r="G1042" s="50">
        <v>2.3900000000000001E-2</v>
      </c>
    </row>
    <row r="1043" spans="1:7" x14ac:dyDescent="0.25">
      <c r="A1043" t="s">
        <v>2063</v>
      </c>
      <c r="B1043">
        <v>54.3</v>
      </c>
      <c r="C1043">
        <v>54.73</v>
      </c>
      <c r="D1043">
        <v>55.4</v>
      </c>
      <c r="E1043">
        <v>53.99</v>
      </c>
      <c r="F1043" t="s">
        <v>1696</v>
      </c>
      <c r="G1043" s="50">
        <v>-7.1000000000000004E-3</v>
      </c>
    </row>
    <row r="1044" spans="1:7" x14ac:dyDescent="0.25">
      <c r="A1044" t="s">
        <v>2064</v>
      </c>
      <c r="B1044">
        <v>54.69</v>
      </c>
      <c r="C1044">
        <v>55.29</v>
      </c>
      <c r="D1044">
        <v>56.21</v>
      </c>
      <c r="E1044">
        <v>54.6</v>
      </c>
      <c r="F1044" t="s">
        <v>2065</v>
      </c>
      <c r="G1044" s="50">
        <v>-4.0000000000000002E-4</v>
      </c>
    </row>
    <row r="1045" spans="1:7" x14ac:dyDescent="0.25">
      <c r="A1045" t="s">
        <v>2066</v>
      </c>
      <c r="B1045">
        <v>54.71</v>
      </c>
      <c r="C1045">
        <v>54.4</v>
      </c>
      <c r="D1045">
        <v>55.16</v>
      </c>
      <c r="E1045">
        <v>53.97</v>
      </c>
      <c r="F1045" t="s">
        <v>1225</v>
      </c>
      <c r="G1045" s="50">
        <v>-2.1600000000000001E-2</v>
      </c>
    </row>
    <row r="1046" spans="1:7" x14ac:dyDescent="0.25">
      <c r="A1046" t="s">
        <v>2067</v>
      </c>
      <c r="B1046">
        <v>55.92</v>
      </c>
      <c r="C1046">
        <v>55.64</v>
      </c>
      <c r="D1046">
        <v>56.24</v>
      </c>
      <c r="E1046">
        <v>55.25</v>
      </c>
      <c r="F1046" t="s">
        <v>2068</v>
      </c>
      <c r="G1046" s="50">
        <v>2.7900000000000001E-2</v>
      </c>
    </row>
    <row r="1047" spans="1:7" x14ac:dyDescent="0.25">
      <c r="A1047" t="s">
        <v>2069</v>
      </c>
      <c r="B1047">
        <v>54.4</v>
      </c>
      <c r="C1047">
        <v>55.7</v>
      </c>
      <c r="D1047">
        <v>55.86</v>
      </c>
      <c r="E1047">
        <v>54.07</v>
      </c>
      <c r="F1047" t="s">
        <v>2070</v>
      </c>
      <c r="G1047" s="50">
        <v>-2.1399999999999999E-2</v>
      </c>
    </row>
    <row r="1048" spans="1:7" x14ac:dyDescent="0.25">
      <c r="A1048" t="s">
        <v>2071</v>
      </c>
      <c r="B1048">
        <v>55.59</v>
      </c>
      <c r="C1048">
        <v>56.31</v>
      </c>
      <c r="D1048">
        <v>56.44</v>
      </c>
      <c r="E1048">
        <v>55.52</v>
      </c>
      <c r="F1048" t="s">
        <v>2072</v>
      </c>
      <c r="G1048" s="50">
        <v>-1.6299999999999999E-2</v>
      </c>
    </row>
    <row r="1049" spans="1:7" x14ac:dyDescent="0.25">
      <c r="A1049" t="s">
        <v>2073</v>
      </c>
      <c r="B1049">
        <v>56.51</v>
      </c>
      <c r="C1049">
        <v>55.67</v>
      </c>
      <c r="D1049">
        <v>56.9</v>
      </c>
      <c r="E1049">
        <v>55.25</v>
      </c>
      <c r="F1049" t="s">
        <v>2074</v>
      </c>
      <c r="G1049" s="50">
        <v>7.7999999999999996E-3</v>
      </c>
    </row>
    <row r="1050" spans="1:7" x14ac:dyDescent="0.25">
      <c r="A1050" t="s">
        <v>2075</v>
      </c>
      <c r="B1050">
        <v>56.07</v>
      </c>
      <c r="C1050">
        <v>56.74</v>
      </c>
      <c r="D1050">
        <v>57</v>
      </c>
      <c r="E1050">
        <v>55.84</v>
      </c>
      <c r="F1050" t="s">
        <v>1273</v>
      </c>
      <c r="G1050" s="50">
        <v>-1.4E-3</v>
      </c>
    </row>
    <row r="1051" spans="1:7" x14ac:dyDescent="0.25">
      <c r="A1051" t="s">
        <v>2076</v>
      </c>
      <c r="B1051">
        <v>56.15</v>
      </c>
      <c r="C1051">
        <v>54.77</v>
      </c>
      <c r="D1051">
        <v>56.38</v>
      </c>
      <c r="E1051">
        <v>54.71</v>
      </c>
      <c r="F1051" t="s">
        <v>1205</v>
      </c>
      <c r="G1051" s="50">
        <v>2.8000000000000001E-2</v>
      </c>
    </row>
    <row r="1052" spans="1:7" x14ac:dyDescent="0.25">
      <c r="A1052" t="s">
        <v>2077</v>
      </c>
      <c r="B1052">
        <v>54.62</v>
      </c>
      <c r="C1052">
        <v>55.53</v>
      </c>
      <c r="D1052">
        <v>55.85</v>
      </c>
      <c r="E1052">
        <v>54.26</v>
      </c>
      <c r="F1052" t="s">
        <v>387</v>
      </c>
      <c r="G1052" s="50">
        <v>-2.06E-2</v>
      </c>
    </row>
    <row r="1053" spans="1:7" x14ac:dyDescent="0.25">
      <c r="A1053" t="s">
        <v>2078</v>
      </c>
      <c r="B1053">
        <v>55.77</v>
      </c>
      <c r="C1053">
        <v>55.41</v>
      </c>
      <c r="D1053">
        <v>56</v>
      </c>
      <c r="E1053">
        <v>54.75</v>
      </c>
      <c r="F1053" t="s">
        <v>2004</v>
      </c>
      <c r="G1053" s="50">
        <v>-4.7999999999999996E-3</v>
      </c>
    </row>
    <row r="1054" spans="1:7" x14ac:dyDescent="0.25">
      <c r="A1054" t="s">
        <v>2079</v>
      </c>
      <c r="B1054">
        <v>56.04</v>
      </c>
      <c r="C1054">
        <v>54.98</v>
      </c>
      <c r="D1054">
        <v>56.22</v>
      </c>
      <c r="E1054">
        <v>54.49</v>
      </c>
      <c r="F1054" t="s">
        <v>2080</v>
      </c>
      <c r="G1054" s="50">
        <v>2.3900000000000001E-2</v>
      </c>
    </row>
    <row r="1055" spans="1:7" x14ac:dyDescent="0.25">
      <c r="A1055" t="s">
        <v>2081</v>
      </c>
      <c r="B1055">
        <v>54.73</v>
      </c>
      <c r="C1055">
        <v>54.07</v>
      </c>
      <c r="D1055">
        <v>54.83</v>
      </c>
      <c r="E1055">
        <v>53.21</v>
      </c>
      <c r="F1055" t="s">
        <v>2082</v>
      </c>
      <c r="G1055" s="50">
        <v>5.3E-3</v>
      </c>
    </row>
    <row r="1056" spans="1:7" x14ac:dyDescent="0.25">
      <c r="A1056" t="s">
        <v>2083</v>
      </c>
      <c r="B1056">
        <v>54.44</v>
      </c>
      <c r="C1056">
        <v>56.61</v>
      </c>
      <c r="D1056">
        <v>56.99</v>
      </c>
      <c r="E1056">
        <v>54.37</v>
      </c>
      <c r="F1056" t="s">
        <v>2084</v>
      </c>
      <c r="G1056" s="50">
        <v>-3.3000000000000002E-2</v>
      </c>
    </row>
    <row r="1057" spans="1:11" x14ac:dyDescent="0.25">
      <c r="A1057" t="s">
        <v>2085</v>
      </c>
      <c r="B1057">
        <v>56.3</v>
      </c>
      <c r="C1057">
        <v>56.93</v>
      </c>
      <c r="D1057">
        <v>57.14</v>
      </c>
      <c r="E1057">
        <v>55.73</v>
      </c>
      <c r="F1057" t="s">
        <v>2086</v>
      </c>
      <c r="G1057" s="50">
        <v>-1.5900000000000001E-2</v>
      </c>
    </row>
    <row r="1058" spans="1:11" x14ac:dyDescent="0.25">
      <c r="A1058" t="s">
        <v>2087</v>
      </c>
      <c r="B1058">
        <v>57.21</v>
      </c>
      <c r="C1058">
        <v>55.46</v>
      </c>
      <c r="D1058">
        <v>57.69</v>
      </c>
      <c r="E1058">
        <v>55.38</v>
      </c>
      <c r="F1058" t="s">
        <v>2088</v>
      </c>
      <c r="G1058" s="50">
        <v>2.58E-2</v>
      </c>
    </row>
    <row r="1059" spans="1:11" x14ac:dyDescent="0.25">
      <c r="A1059" t="s">
        <v>2089</v>
      </c>
      <c r="B1059">
        <v>55.77</v>
      </c>
      <c r="C1059">
        <v>55.5</v>
      </c>
      <c r="D1059">
        <v>57.06</v>
      </c>
      <c r="E1059">
        <v>55.4</v>
      </c>
      <c r="F1059" t="s">
        <v>2090</v>
      </c>
      <c r="G1059" s="50">
        <v>2.8000000000000001E-2</v>
      </c>
    </row>
    <row r="1060" spans="1:11" x14ac:dyDescent="0.25">
      <c r="A1060" t="s">
        <v>2091</v>
      </c>
      <c r="B1060">
        <v>54.25</v>
      </c>
      <c r="C1060">
        <v>54.13</v>
      </c>
      <c r="D1060">
        <v>54.44</v>
      </c>
      <c r="E1060">
        <v>53.38</v>
      </c>
      <c r="F1060" t="s">
        <v>323</v>
      </c>
      <c r="G1060" s="50">
        <v>-4.0000000000000002E-4</v>
      </c>
    </row>
    <row r="1061" spans="1:11" x14ac:dyDescent="0.25">
      <c r="A1061" t="s">
        <v>2092</v>
      </c>
      <c r="B1061">
        <v>54.27</v>
      </c>
      <c r="C1061">
        <v>53.72</v>
      </c>
      <c r="D1061">
        <v>54.3</v>
      </c>
      <c r="E1061">
        <v>53.64</v>
      </c>
      <c r="F1061" t="s">
        <v>963</v>
      </c>
      <c r="G1061" s="50">
        <v>2.0500000000000001E-2</v>
      </c>
      <c r="J1061" s="38"/>
      <c r="K1061" s="38"/>
    </row>
    <row r="1062" spans="1:11" x14ac:dyDescent="0.25">
      <c r="A1062" t="s">
        <v>2093</v>
      </c>
      <c r="B1062">
        <v>53.18</v>
      </c>
      <c r="C1062">
        <v>53.41</v>
      </c>
      <c r="D1062">
        <v>53.65</v>
      </c>
      <c r="E1062">
        <v>52.7</v>
      </c>
      <c r="F1062" t="s">
        <v>2094</v>
      </c>
      <c r="G1062" s="50">
        <v>-1.34E-2</v>
      </c>
    </row>
    <row r="1063" spans="1:11" x14ac:dyDescent="0.25">
      <c r="A1063" t="s">
        <v>2095</v>
      </c>
      <c r="B1063">
        <v>53.9</v>
      </c>
      <c r="C1063">
        <v>54.87</v>
      </c>
      <c r="D1063">
        <v>55.09</v>
      </c>
      <c r="E1063">
        <v>53.77</v>
      </c>
      <c r="F1063" t="s">
        <v>2096</v>
      </c>
      <c r="G1063" s="50">
        <v>-1.77E-2</v>
      </c>
    </row>
    <row r="1064" spans="1:11" x14ac:dyDescent="0.25">
      <c r="A1064" t="s">
        <v>2097</v>
      </c>
      <c r="B1064">
        <v>54.87</v>
      </c>
      <c r="C1064">
        <v>55.24</v>
      </c>
      <c r="D1064">
        <v>56.02</v>
      </c>
      <c r="E1064">
        <v>54.74</v>
      </c>
      <c r="F1064" t="s">
        <v>2098</v>
      </c>
      <c r="G1064" s="50">
        <v>-2.52E-2</v>
      </c>
    </row>
    <row r="1065" spans="1:11" x14ac:dyDescent="0.25">
      <c r="A1065" t="s">
        <v>2099</v>
      </c>
      <c r="B1065">
        <v>56.29</v>
      </c>
      <c r="C1065">
        <v>55.82</v>
      </c>
      <c r="D1065">
        <v>56.38</v>
      </c>
      <c r="E1065">
        <v>55.48</v>
      </c>
      <c r="F1065" t="s">
        <v>1036</v>
      </c>
      <c r="G1065" s="50">
        <v>1.72E-2</v>
      </c>
    </row>
    <row r="1066" spans="1:11" x14ac:dyDescent="0.25">
      <c r="A1066" t="s">
        <v>2100</v>
      </c>
      <c r="B1066">
        <v>55.34</v>
      </c>
      <c r="C1066">
        <v>55.06</v>
      </c>
      <c r="D1066">
        <v>55.49</v>
      </c>
      <c r="E1066">
        <v>54.71</v>
      </c>
      <c r="F1066" t="s">
        <v>1589</v>
      </c>
      <c r="G1066" s="50">
        <v>3.0999999999999999E-3</v>
      </c>
    </row>
    <row r="1067" spans="1:11" x14ac:dyDescent="0.25">
      <c r="A1067" t="s">
        <v>2101</v>
      </c>
      <c r="B1067">
        <v>55.17</v>
      </c>
      <c r="C1067">
        <v>55.33</v>
      </c>
      <c r="D1067">
        <v>55.53</v>
      </c>
      <c r="E1067">
        <v>54.7</v>
      </c>
      <c r="F1067" t="s">
        <v>2102</v>
      </c>
      <c r="G1067" s="50">
        <v>4.0000000000000002E-4</v>
      </c>
    </row>
    <row r="1068" spans="1:11" x14ac:dyDescent="0.25">
      <c r="A1068" t="s">
        <v>2103</v>
      </c>
      <c r="B1068">
        <v>55.15</v>
      </c>
      <c r="C1068">
        <v>54.89</v>
      </c>
      <c r="D1068">
        <v>55.62</v>
      </c>
      <c r="E1068">
        <v>54.39</v>
      </c>
      <c r="F1068" t="s">
        <v>2104</v>
      </c>
      <c r="G1068" s="50">
        <v>-8.9999999999999998E-4</v>
      </c>
    </row>
    <row r="1069" spans="1:11" x14ac:dyDescent="0.25">
      <c r="A1069" t="s">
        <v>2105</v>
      </c>
      <c r="B1069">
        <v>55.2</v>
      </c>
      <c r="C1069">
        <v>55.87</v>
      </c>
      <c r="D1069">
        <v>56.15</v>
      </c>
      <c r="E1069">
        <v>55.06</v>
      </c>
      <c r="F1069" t="s">
        <v>1703</v>
      </c>
      <c r="G1069" s="50">
        <v>-1.7299999999999999E-2</v>
      </c>
    </row>
    <row r="1070" spans="1:11" x14ac:dyDescent="0.25">
      <c r="A1070" t="s">
        <v>2106</v>
      </c>
      <c r="B1070">
        <v>56.17</v>
      </c>
      <c r="C1070">
        <v>55.23</v>
      </c>
      <c r="D1070">
        <v>56.31</v>
      </c>
      <c r="E1070">
        <v>55.17</v>
      </c>
      <c r="F1070" t="s">
        <v>2107</v>
      </c>
      <c r="G1070" s="50">
        <v>1.44E-2</v>
      </c>
    </row>
    <row r="1071" spans="1:11" x14ac:dyDescent="0.25">
      <c r="A1071" t="s">
        <v>2108</v>
      </c>
      <c r="B1071">
        <v>55.37</v>
      </c>
      <c r="C1071">
        <v>55.45</v>
      </c>
      <c r="D1071">
        <v>55.5</v>
      </c>
      <c r="E1071">
        <v>54.73</v>
      </c>
      <c r="F1071" t="s">
        <v>2109</v>
      </c>
      <c r="G1071" s="50">
        <v>-5.4000000000000003E-3</v>
      </c>
    </row>
    <row r="1072" spans="1:11" x14ac:dyDescent="0.25">
      <c r="A1072" t="s">
        <v>2110</v>
      </c>
      <c r="B1072">
        <v>55.67</v>
      </c>
      <c r="C1072">
        <v>55.43</v>
      </c>
      <c r="D1072">
        <v>55.86</v>
      </c>
      <c r="E1072">
        <v>54.87</v>
      </c>
      <c r="F1072" t="s">
        <v>2111</v>
      </c>
      <c r="G1072" s="50">
        <v>1.1000000000000001E-3</v>
      </c>
    </row>
    <row r="1073" spans="1:7" x14ac:dyDescent="0.25">
      <c r="A1073" t="s">
        <v>2112</v>
      </c>
      <c r="B1073">
        <v>55.61</v>
      </c>
      <c r="C1073">
        <v>54.5</v>
      </c>
      <c r="D1073">
        <v>55.66</v>
      </c>
      <c r="E1073">
        <v>53.45</v>
      </c>
      <c r="F1073" t="s">
        <v>2113</v>
      </c>
      <c r="G1073" s="50">
        <v>1.8100000000000002E-2</v>
      </c>
    </row>
    <row r="1074" spans="1:7" x14ac:dyDescent="0.25">
      <c r="A1074" t="s">
        <v>2114</v>
      </c>
      <c r="B1074">
        <v>54.62</v>
      </c>
      <c r="C1074">
        <v>55.51</v>
      </c>
      <c r="D1074">
        <v>56.53</v>
      </c>
      <c r="E1074">
        <v>54.4</v>
      </c>
      <c r="F1074" t="s">
        <v>2115</v>
      </c>
      <c r="G1074" s="50">
        <v>-1.2800000000000001E-2</v>
      </c>
    </row>
    <row r="1075" spans="1:7" x14ac:dyDescent="0.25">
      <c r="A1075" t="s">
        <v>2116</v>
      </c>
      <c r="B1075">
        <v>55.33</v>
      </c>
      <c r="C1075">
        <v>56.11</v>
      </c>
      <c r="D1075">
        <v>56.45</v>
      </c>
      <c r="E1075">
        <v>54.85</v>
      </c>
      <c r="F1075" t="s">
        <v>2117</v>
      </c>
      <c r="G1075" s="50">
        <v>-1.3899999999999999E-2</v>
      </c>
    </row>
    <row r="1076" spans="1:7" x14ac:dyDescent="0.25">
      <c r="A1076" t="s">
        <v>2118</v>
      </c>
      <c r="B1076">
        <v>56.11</v>
      </c>
      <c r="C1076">
        <v>56.09</v>
      </c>
      <c r="D1076">
        <v>56.69</v>
      </c>
      <c r="E1076">
        <v>55.07</v>
      </c>
      <c r="F1076" t="s">
        <v>2119</v>
      </c>
      <c r="G1076" s="50">
        <v>-1.3899999999999999E-2</v>
      </c>
    </row>
    <row r="1077" spans="1:7" x14ac:dyDescent="0.25">
      <c r="A1077" t="s">
        <v>2120</v>
      </c>
      <c r="B1077">
        <v>56.9</v>
      </c>
      <c r="C1077">
        <v>56.16</v>
      </c>
      <c r="D1077">
        <v>57</v>
      </c>
      <c r="E1077">
        <v>54.87</v>
      </c>
      <c r="F1077" t="s">
        <v>2121</v>
      </c>
      <c r="G1077" s="50">
        <v>3.8999999999999998E-3</v>
      </c>
    </row>
    <row r="1078" spans="1:7" x14ac:dyDescent="0.25">
      <c r="A1078" t="s">
        <v>2122</v>
      </c>
      <c r="B1078">
        <v>56.68</v>
      </c>
      <c r="C1078">
        <v>58.07</v>
      </c>
      <c r="D1078">
        <v>58.34</v>
      </c>
      <c r="E1078">
        <v>56.61</v>
      </c>
      <c r="F1078" t="s">
        <v>2123</v>
      </c>
      <c r="G1078" s="50">
        <v>-2.41E-2</v>
      </c>
    </row>
    <row r="1079" spans="1:7" x14ac:dyDescent="0.25">
      <c r="A1079" t="s">
        <v>2124</v>
      </c>
      <c r="B1079">
        <v>58.08</v>
      </c>
      <c r="C1079">
        <v>58.99</v>
      </c>
      <c r="D1079">
        <v>59.34</v>
      </c>
      <c r="E1079">
        <v>58.02</v>
      </c>
      <c r="F1079" t="s">
        <v>2125</v>
      </c>
      <c r="G1079" s="50">
        <v>-1.3899999999999999E-2</v>
      </c>
    </row>
    <row r="1080" spans="1:7" x14ac:dyDescent="0.25">
      <c r="A1080" t="s">
        <v>2126</v>
      </c>
      <c r="B1080">
        <v>58.9</v>
      </c>
      <c r="C1080">
        <v>57.99</v>
      </c>
      <c r="D1080">
        <v>59.49</v>
      </c>
      <c r="E1080">
        <v>57.78</v>
      </c>
      <c r="F1080" t="s">
        <v>2127</v>
      </c>
      <c r="G1080" s="50">
        <v>-1.3899999999999999E-2</v>
      </c>
    </row>
    <row r="1081" spans="1:7" x14ac:dyDescent="0.25">
      <c r="A1081" t="s">
        <v>2128</v>
      </c>
      <c r="B1081">
        <v>59.73</v>
      </c>
      <c r="C1081">
        <v>59.98</v>
      </c>
      <c r="D1081">
        <v>60.22</v>
      </c>
      <c r="E1081">
        <v>59.49</v>
      </c>
      <c r="F1081" t="s">
        <v>2129</v>
      </c>
      <c r="G1081" s="50">
        <v>-2.6599999999999999E-2</v>
      </c>
    </row>
    <row r="1082" spans="1:7" x14ac:dyDescent="0.25">
      <c r="A1082" t="s">
        <v>2130</v>
      </c>
      <c r="B1082">
        <v>61.36</v>
      </c>
      <c r="C1082">
        <v>61.47</v>
      </c>
      <c r="D1082">
        <v>61.5</v>
      </c>
      <c r="E1082">
        <v>60.94</v>
      </c>
      <c r="F1082" t="s">
        <v>303</v>
      </c>
      <c r="G1082" s="50">
        <v>-2.3E-3</v>
      </c>
    </row>
    <row r="1083" spans="1:7" x14ac:dyDescent="0.25">
      <c r="A1083" t="s">
        <v>2131</v>
      </c>
      <c r="B1083">
        <v>61.5</v>
      </c>
      <c r="C1083">
        <v>62.08</v>
      </c>
      <c r="D1083">
        <v>62.15</v>
      </c>
      <c r="E1083">
        <v>61.21</v>
      </c>
      <c r="F1083" t="s">
        <v>1709</v>
      </c>
      <c r="G1083" s="50">
        <v>-0.01</v>
      </c>
    </row>
    <row r="1084" spans="1:7" x14ac:dyDescent="0.25">
      <c r="A1084" t="s">
        <v>2132</v>
      </c>
      <c r="B1084">
        <v>62.12</v>
      </c>
      <c r="C1084">
        <v>62.4</v>
      </c>
      <c r="D1084">
        <v>62.82</v>
      </c>
      <c r="E1084">
        <v>61.92</v>
      </c>
      <c r="F1084" t="s">
        <v>1705</v>
      </c>
      <c r="G1084" s="50">
        <v>-4.0000000000000001E-3</v>
      </c>
    </row>
    <row r="1085" spans="1:7" x14ac:dyDescent="0.25">
      <c r="A1085" t="s">
        <v>2133</v>
      </c>
      <c r="B1085">
        <v>62.37</v>
      </c>
      <c r="C1085">
        <v>61.59</v>
      </c>
      <c r="D1085">
        <v>62.43</v>
      </c>
      <c r="E1085">
        <v>61.44</v>
      </c>
      <c r="F1085" t="s">
        <v>2134</v>
      </c>
      <c r="G1085" s="50">
        <v>8.8999999999999999E-3</v>
      </c>
    </row>
    <row r="1086" spans="1:7" x14ac:dyDescent="0.25">
      <c r="A1086" t="s">
        <v>2135</v>
      </c>
      <c r="B1086">
        <v>61.82</v>
      </c>
      <c r="C1086">
        <v>60.87</v>
      </c>
      <c r="D1086">
        <v>61.9</v>
      </c>
      <c r="E1086">
        <v>60.52</v>
      </c>
      <c r="F1086" t="s">
        <v>2136</v>
      </c>
      <c r="G1086" s="50">
        <v>1.1299999999999999E-2</v>
      </c>
    </row>
    <row r="1087" spans="1:7" x14ac:dyDescent="0.25">
      <c r="A1087" t="s">
        <v>2137</v>
      </c>
      <c r="B1087">
        <v>61.13</v>
      </c>
      <c r="C1087">
        <v>60.87</v>
      </c>
      <c r="D1087">
        <v>61.5</v>
      </c>
      <c r="E1087">
        <v>60.67</v>
      </c>
      <c r="F1087" t="s">
        <v>2138</v>
      </c>
      <c r="G1087" s="50">
        <v>3.3999999999999998E-3</v>
      </c>
    </row>
    <row r="1088" spans="1:7" x14ac:dyDescent="0.25">
      <c r="A1088" t="s">
        <v>2139</v>
      </c>
      <c r="B1088">
        <v>60.92</v>
      </c>
      <c r="C1088">
        <v>60</v>
      </c>
      <c r="D1088">
        <v>61.13</v>
      </c>
      <c r="E1088">
        <v>59.91</v>
      </c>
      <c r="F1088" t="s">
        <v>275</v>
      </c>
      <c r="G1088" s="50">
        <v>1.06E-2</v>
      </c>
    </row>
    <row r="1089" spans="1:7" x14ac:dyDescent="0.25">
      <c r="A1089" t="s">
        <v>2140</v>
      </c>
      <c r="B1089">
        <v>60.28</v>
      </c>
      <c r="C1089">
        <v>61.19</v>
      </c>
      <c r="D1089">
        <v>61.64</v>
      </c>
      <c r="E1089">
        <v>60.25</v>
      </c>
      <c r="F1089" t="s">
        <v>2141</v>
      </c>
      <c r="G1089" s="50">
        <v>-1.5800000000000002E-2</v>
      </c>
    </row>
    <row r="1090" spans="1:7" x14ac:dyDescent="0.25">
      <c r="A1090" t="s">
        <v>2142</v>
      </c>
      <c r="B1090">
        <v>61.25</v>
      </c>
      <c r="C1090">
        <v>62.44</v>
      </c>
      <c r="D1090">
        <v>62.81</v>
      </c>
      <c r="E1090">
        <v>61.11</v>
      </c>
      <c r="F1090" t="s">
        <v>2143</v>
      </c>
      <c r="G1090" s="50">
        <v>-3.0200000000000001E-2</v>
      </c>
    </row>
    <row r="1091" spans="1:7" x14ac:dyDescent="0.25">
      <c r="A1091" t="s">
        <v>2144</v>
      </c>
      <c r="B1091">
        <v>63.16</v>
      </c>
      <c r="C1091">
        <v>62.9</v>
      </c>
      <c r="D1091">
        <v>63.35</v>
      </c>
      <c r="E1091">
        <v>62.5</v>
      </c>
      <c r="F1091" t="s">
        <v>395</v>
      </c>
      <c r="G1091" s="50">
        <v>-3.3E-3</v>
      </c>
    </row>
    <row r="1092" spans="1:7" x14ac:dyDescent="0.25">
      <c r="A1092" t="s">
        <v>2145</v>
      </c>
      <c r="B1092">
        <v>63.37</v>
      </c>
      <c r="C1092">
        <v>63.55</v>
      </c>
      <c r="D1092">
        <v>63.82</v>
      </c>
      <c r="E1092">
        <v>63.32</v>
      </c>
      <c r="F1092" t="s">
        <v>2146</v>
      </c>
      <c r="G1092" s="50">
        <v>-3.8999999999999998E-3</v>
      </c>
    </row>
    <row r="1093" spans="1:7" x14ac:dyDescent="0.25">
      <c r="A1093" t="s">
        <v>2147</v>
      </c>
      <c r="B1093">
        <v>63.62</v>
      </c>
      <c r="C1093">
        <v>64.040000000000006</v>
      </c>
      <c r="D1093">
        <v>64.14</v>
      </c>
      <c r="E1093">
        <v>63.47</v>
      </c>
      <c r="F1093" t="s">
        <v>2148</v>
      </c>
      <c r="G1093" s="50">
        <v>-5.3E-3</v>
      </c>
    </row>
    <row r="1094" spans="1:7" x14ac:dyDescent="0.25">
      <c r="A1094" t="s">
        <v>2149</v>
      </c>
      <c r="B1094">
        <v>63.96</v>
      </c>
      <c r="C1094">
        <v>63.65</v>
      </c>
      <c r="D1094">
        <v>64.28</v>
      </c>
      <c r="E1094">
        <v>63.55</v>
      </c>
      <c r="F1094" t="s">
        <v>265</v>
      </c>
      <c r="G1094" s="50">
        <v>6.7999999999999996E-3</v>
      </c>
    </row>
    <row r="1095" spans="1:7" x14ac:dyDescent="0.25">
      <c r="A1095" t="s">
        <v>2150</v>
      </c>
      <c r="B1095">
        <v>63.53</v>
      </c>
      <c r="C1095">
        <v>63.42</v>
      </c>
      <c r="D1095">
        <v>63.84</v>
      </c>
      <c r="E1095">
        <v>63.23</v>
      </c>
      <c r="F1095" t="s">
        <v>2151</v>
      </c>
      <c r="G1095" s="50">
        <v>1.6999999999999999E-3</v>
      </c>
    </row>
    <row r="1096" spans="1:7" x14ac:dyDescent="0.25">
      <c r="A1096" t="s">
        <v>2152</v>
      </c>
      <c r="B1096">
        <v>63.42</v>
      </c>
      <c r="C1096">
        <v>62.41</v>
      </c>
      <c r="D1096">
        <v>63.47</v>
      </c>
      <c r="E1096">
        <v>62.28</v>
      </c>
      <c r="F1096" t="s">
        <v>1670</v>
      </c>
      <c r="G1096" s="50">
        <v>1.83E-2</v>
      </c>
    </row>
    <row r="1097" spans="1:7" x14ac:dyDescent="0.25">
      <c r="A1097" t="s">
        <v>2153</v>
      </c>
      <c r="B1097">
        <v>62.28</v>
      </c>
      <c r="C1097">
        <v>61.79</v>
      </c>
      <c r="D1097">
        <v>62.9</v>
      </c>
      <c r="E1097">
        <v>61.79</v>
      </c>
      <c r="F1097" t="s">
        <v>2154</v>
      </c>
      <c r="G1097" s="50">
        <v>1.2200000000000001E-2</v>
      </c>
    </row>
    <row r="1098" spans="1:7" x14ac:dyDescent="0.25">
      <c r="A1098" t="s">
        <v>2155</v>
      </c>
      <c r="B1098">
        <v>61.53</v>
      </c>
      <c r="C1098">
        <v>60.97</v>
      </c>
      <c r="D1098">
        <v>61.59</v>
      </c>
      <c r="E1098">
        <v>60.62</v>
      </c>
      <c r="F1098" t="s">
        <v>2156</v>
      </c>
      <c r="G1098" s="50">
        <v>8.2000000000000007E-3</v>
      </c>
    </row>
    <row r="1099" spans="1:7" x14ac:dyDescent="0.25">
      <c r="A1099" t="s">
        <v>2157</v>
      </c>
      <c r="B1099">
        <v>61.03</v>
      </c>
      <c r="C1099">
        <v>60.44</v>
      </c>
      <c r="D1099">
        <v>61.24</v>
      </c>
      <c r="E1099">
        <v>60</v>
      </c>
      <c r="F1099" t="s">
        <v>2158</v>
      </c>
      <c r="G1099" s="50">
        <v>1.11E-2</v>
      </c>
    </row>
    <row r="1100" spans="1:7" x14ac:dyDescent="0.25">
      <c r="A1100" t="s">
        <v>2159</v>
      </c>
      <c r="B1100">
        <v>60.36</v>
      </c>
      <c r="C1100">
        <v>59.67</v>
      </c>
      <c r="D1100">
        <v>60.41</v>
      </c>
      <c r="E1100">
        <v>59.3</v>
      </c>
      <c r="F1100" t="s">
        <v>2160</v>
      </c>
      <c r="G1100" s="50">
        <v>-1.6999999999999999E-3</v>
      </c>
    </row>
    <row r="1101" spans="1:7" x14ac:dyDescent="0.25">
      <c r="A1101" t="s">
        <v>2161</v>
      </c>
      <c r="B1101">
        <v>60.46</v>
      </c>
      <c r="C1101">
        <v>60.27</v>
      </c>
      <c r="D1101">
        <v>60.8</v>
      </c>
      <c r="E1101">
        <v>59.78</v>
      </c>
      <c r="F1101" t="s">
        <v>2162</v>
      </c>
      <c r="G1101" s="50">
        <v>2.5000000000000001E-3</v>
      </c>
    </row>
    <row r="1102" spans="1:7" x14ac:dyDescent="0.25">
      <c r="A1102" t="s">
        <v>2163</v>
      </c>
      <c r="B1102">
        <v>60.31</v>
      </c>
      <c r="C1102">
        <v>60.05</v>
      </c>
      <c r="D1102">
        <v>60.76</v>
      </c>
      <c r="E1102">
        <v>59.87</v>
      </c>
      <c r="F1102" t="s">
        <v>2164</v>
      </c>
      <c r="G1102" s="50">
        <v>6.3E-3</v>
      </c>
    </row>
    <row r="1103" spans="1:7" x14ac:dyDescent="0.25">
      <c r="A1103" t="s">
        <v>2165</v>
      </c>
      <c r="B1103">
        <v>59.93</v>
      </c>
      <c r="C1103">
        <v>57.92</v>
      </c>
      <c r="D1103">
        <v>60.03</v>
      </c>
      <c r="E1103">
        <v>57.9</v>
      </c>
      <c r="F1103" t="s">
        <v>2166</v>
      </c>
      <c r="G1103" s="50">
        <v>3.7400000000000003E-2</v>
      </c>
    </row>
    <row r="1104" spans="1:7" x14ac:dyDescent="0.25">
      <c r="A1104" t="s">
        <v>2167</v>
      </c>
      <c r="B1104">
        <v>57.77</v>
      </c>
      <c r="C1104">
        <v>58.34</v>
      </c>
      <c r="D1104">
        <v>58.52</v>
      </c>
      <c r="E1104">
        <v>57.37</v>
      </c>
      <c r="F1104" t="s">
        <v>2168</v>
      </c>
      <c r="G1104" s="50">
        <v>-1.43E-2</v>
      </c>
    </row>
    <row r="1105" spans="1:7" x14ac:dyDescent="0.25">
      <c r="A1105" t="s">
        <v>2169</v>
      </c>
      <c r="B1105">
        <v>58.61</v>
      </c>
      <c r="C1105">
        <v>59.1</v>
      </c>
      <c r="D1105">
        <v>59.51</v>
      </c>
      <c r="E1105">
        <v>58.54</v>
      </c>
      <c r="F1105" t="s">
        <v>2170</v>
      </c>
      <c r="G1105" s="50">
        <v>-1.0800000000000001E-2</v>
      </c>
    </row>
    <row r="1106" spans="1:7" x14ac:dyDescent="0.25">
      <c r="A1106" t="s">
        <v>2171</v>
      </c>
      <c r="B1106">
        <v>59.25</v>
      </c>
      <c r="C1106">
        <v>57.91</v>
      </c>
      <c r="D1106">
        <v>59.34</v>
      </c>
      <c r="E1106">
        <v>57.91</v>
      </c>
      <c r="F1106" t="s">
        <v>492</v>
      </c>
      <c r="G1106" s="50">
        <v>2.9499999999999998E-2</v>
      </c>
    </row>
    <row r="1107" spans="1:7" x14ac:dyDescent="0.25">
      <c r="A1107" t="s">
        <v>2172</v>
      </c>
      <c r="B1107">
        <v>57.55</v>
      </c>
      <c r="C1107">
        <v>57.2</v>
      </c>
      <c r="D1107">
        <v>57.83</v>
      </c>
      <c r="E1107">
        <v>56.93</v>
      </c>
      <c r="F1107" t="s">
        <v>2173</v>
      </c>
      <c r="G1107" s="50">
        <v>9.2999999999999992E-3</v>
      </c>
    </row>
    <row r="1108" spans="1:7" x14ac:dyDescent="0.25">
      <c r="A1108" t="s">
        <v>2174</v>
      </c>
      <c r="B1108">
        <v>57.02</v>
      </c>
      <c r="C1108">
        <v>58.08</v>
      </c>
      <c r="D1108">
        <v>58.13</v>
      </c>
      <c r="E1108">
        <v>56.63</v>
      </c>
      <c r="F1108" t="s">
        <v>1266</v>
      </c>
      <c r="G1108" s="50">
        <v>-1.83E-2</v>
      </c>
    </row>
    <row r="1109" spans="1:7" x14ac:dyDescent="0.25">
      <c r="A1109" t="s">
        <v>2175</v>
      </c>
      <c r="B1109">
        <v>58.08</v>
      </c>
      <c r="C1109">
        <v>57.1</v>
      </c>
      <c r="D1109">
        <v>58.22</v>
      </c>
      <c r="E1109">
        <v>57.01</v>
      </c>
      <c r="F1109" t="s">
        <v>2176</v>
      </c>
      <c r="G1109" s="50">
        <v>1.9699999999999999E-2</v>
      </c>
    </row>
    <row r="1110" spans="1:7" x14ac:dyDescent="0.25">
      <c r="A1110" t="s">
        <v>2177</v>
      </c>
      <c r="B1110">
        <v>56.96</v>
      </c>
      <c r="C1110">
        <v>56.7</v>
      </c>
      <c r="D1110">
        <v>57.17</v>
      </c>
      <c r="E1110">
        <v>56.47</v>
      </c>
      <c r="F1110" t="s">
        <v>2178</v>
      </c>
      <c r="G1110" s="50">
        <v>1.2999999999999999E-2</v>
      </c>
    </row>
    <row r="1111" spans="1:7" x14ac:dyDescent="0.25">
      <c r="A1111" t="s">
        <v>2179</v>
      </c>
      <c r="B1111">
        <v>56.23</v>
      </c>
      <c r="C1111">
        <v>56.3</v>
      </c>
      <c r="D1111">
        <v>56.82</v>
      </c>
      <c r="E1111">
        <v>55.66</v>
      </c>
      <c r="F1111" t="s">
        <v>2180</v>
      </c>
      <c r="G1111" s="50">
        <v>1.4E-3</v>
      </c>
    </row>
    <row r="1112" spans="1:7" x14ac:dyDescent="0.25">
      <c r="A1112" t="s">
        <v>2181</v>
      </c>
      <c r="B1112">
        <v>56.15</v>
      </c>
      <c r="C1112">
        <v>55.15</v>
      </c>
      <c r="D1112">
        <v>56.61</v>
      </c>
      <c r="E1112">
        <v>55.08</v>
      </c>
      <c r="F1112" t="s">
        <v>2182</v>
      </c>
      <c r="G1112" s="50">
        <v>2.0400000000000001E-2</v>
      </c>
    </row>
    <row r="1113" spans="1:7" x14ac:dyDescent="0.25">
      <c r="A1113" t="s">
        <v>2183</v>
      </c>
      <c r="B1113">
        <v>55.03</v>
      </c>
      <c r="C1113">
        <v>55.53</v>
      </c>
      <c r="D1113">
        <v>56.38</v>
      </c>
      <c r="E1113">
        <v>54.93</v>
      </c>
      <c r="F1113" t="s">
        <v>2184</v>
      </c>
      <c r="G1113" s="50">
        <v>3.5000000000000001E-3</v>
      </c>
    </row>
    <row r="1114" spans="1:7" x14ac:dyDescent="0.25">
      <c r="A1114" t="s">
        <v>2185</v>
      </c>
      <c r="B1114">
        <v>54.84</v>
      </c>
      <c r="C1114">
        <v>55.58</v>
      </c>
      <c r="D1114">
        <v>55.6</v>
      </c>
      <c r="E1114">
        <v>54.15</v>
      </c>
      <c r="F1114" t="s">
        <v>2186</v>
      </c>
      <c r="G1114" s="50">
        <v>-1.6500000000000001E-2</v>
      </c>
    </row>
    <row r="1115" spans="1:7" x14ac:dyDescent="0.25">
      <c r="A1115" t="s">
        <v>2187</v>
      </c>
      <c r="B1115">
        <v>55.76</v>
      </c>
      <c r="C1115">
        <v>55.14</v>
      </c>
      <c r="D1115">
        <v>56.19</v>
      </c>
      <c r="E1115">
        <v>54.83</v>
      </c>
      <c r="F1115" t="s">
        <v>766</v>
      </c>
      <c r="G1115" s="50">
        <v>1.9900000000000001E-2</v>
      </c>
    </row>
    <row r="1116" spans="1:7" x14ac:dyDescent="0.25">
      <c r="A1116" t="s">
        <v>2188</v>
      </c>
      <c r="B1116">
        <v>54.67</v>
      </c>
      <c r="C1116">
        <v>54.46</v>
      </c>
      <c r="D1116">
        <v>55.19</v>
      </c>
      <c r="E1116">
        <v>54.46</v>
      </c>
      <c r="F1116" t="s">
        <v>2074</v>
      </c>
      <c r="G1116" s="50">
        <v>-1.5699999999999999E-2</v>
      </c>
    </row>
    <row r="1117" spans="1:7" x14ac:dyDescent="0.25">
      <c r="A1117" t="s">
        <v>2189</v>
      </c>
      <c r="B1117">
        <v>55.54</v>
      </c>
      <c r="C1117">
        <v>55.15</v>
      </c>
      <c r="D1117">
        <v>55.75</v>
      </c>
      <c r="E1117">
        <v>55.15</v>
      </c>
      <c r="F1117" t="s">
        <v>2190</v>
      </c>
      <c r="G1117" s="50">
        <v>4.3E-3</v>
      </c>
    </row>
    <row r="1118" spans="1:7" x14ac:dyDescent="0.25">
      <c r="A1118" t="s">
        <v>2191</v>
      </c>
      <c r="B1118">
        <v>55.3</v>
      </c>
      <c r="C1118">
        <v>54.61</v>
      </c>
      <c r="D1118">
        <v>55.58</v>
      </c>
      <c r="E1118">
        <v>54.47</v>
      </c>
      <c r="F1118" t="s">
        <v>2192</v>
      </c>
      <c r="G1118" s="50">
        <v>1.2800000000000001E-2</v>
      </c>
    </row>
    <row r="1119" spans="1:7" x14ac:dyDescent="0.25">
      <c r="A1119" t="s">
        <v>2193</v>
      </c>
      <c r="B1119">
        <v>54.6</v>
      </c>
      <c r="C1119">
        <v>53.35</v>
      </c>
      <c r="D1119">
        <v>55.53</v>
      </c>
      <c r="E1119">
        <v>53.3</v>
      </c>
      <c r="F1119" t="s">
        <v>2194</v>
      </c>
      <c r="G1119" s="50">
        <v>2.5399999999999999E-2</v>
      </c>
    </row>
    <row r="1120" spans="1:7" x14ac:dyDescent="0.25">
      <c r="A1120" t="s">
        <v>2195</v>
      </c>
      <c r="B1120">
        <v>53.25</v>
      </c>
      <c r="C1120">
        <v>53.55</v>
      </c>
      <c r="D1120">
        <v>53.69</v>
      </c>
      <c r="E1120">
        <v>52.78</v>
      </c>
      <c r="F1120" t="s">
        <v>2196</v>
      </c>
      <c r="G1120" s="50">
        <v>-7.1000000000000004E-3</v>
      </c>
    </row>
    <row r="1121" spans="1:7" x14ac:dyDescent="0.25">
      <c r="A1121" t="s">
        <v>2197</v>
      </c>
      <c r="B1121">
        <v>53.63</v>
      </c>
      <c r="C1121">
        <v>52.73</v>
      </c>
      <c r="D1121">
        <v>53.93</v>
      </c>
      <c r="E1121">
        <v>51.08</v>
      </c>
      <c r="F1121" t="s">
        <v>2198</v>
      </c>
      <c r="G1121" s="50">
        <v>-5.5100000000000003E-2</v>
      </c>
    </row>
    <row r="1122" spans="1:7" x14ac:dyDescent="0.25">
      <c r="A1122" t="s">
        <v>2199</v>
      </c>
      <c r="B1122">
        <v>56.76</v>
      </c>
      <c r="C1122">
        <v>56.61</v>
      </c>
      <c r="D1122">
        <v>57.14</v>
      </c>
      <c r="E1122">
        <v>56.27</v>
      </c>
      <c r="F1122" t="s">
        <v>2200</v>
      </c>
      <c r="G1122" s="50">
        <v>-4.1999999999999997E-3</v>
      </c>
    </row>
    <row r="1123" spans="1:7" x14ac:dyDescent="0.25">
      <c r="A1123" t="s">
        <v>2201</v>
      </c>
      <c r="B1123">
        <v>57</v>
      </c>
      <c r="C1123">
        <v>57.24</v>
      </c>
      <c r="D1123">
        <v>58.08</v>
      </c>
      <c r="E1123">
        <v>56.92</v>
      </c>
      <c r="F1123" t="s">
        <v>2202</v>
      </c>
      <c r="G1123" s="50">
        <v>-4.7000000000000002E-3</v>
      </c>
    </row>
    <row r="1124" spans="1:7" x14ac:dyDescent="0.25">
      <c r="A1124" t="s">
        <v>2203</v>
      </c>
      <c r="B1124">
        <v>57.27</v>
      </c>
      <c r="C1124">
        <v>56.93</v>
      </c>
      <c r="D1124">
        <v>57.7</v>
      </c>
      <c r="E1124">
        <v>56.83</v>
      </c>
      <c r="F1124" t="s">
        <v>2204</v>
      </c>
      <c r="G1124" s="50">
        <v>7.9000000000000008E-3</v>
      </c>
    </row>
    <row r="1125" spans="1:7" x14ac:dyDescent="0.25">
      <c r="A1125" t="s">
        <v>2205</v>
      </c>
      <c r="B1125">
        <v>56.82</v>
      </c>
      <c r="C1125">
        <v>56.97</v>
      </c>
      <c r="D1125">
        <v>57.15</v>
      </c>
      <c r="E1125">
        <v>56.31</v>
      </c>
      <c r="F1125" t="s">
        <v>644</v>
      </c>
      <c r="G1125" s="50">
        <v>1.1000000000000001E-3</v>
      </c>
    </row>
    <row r="1126" spans="1:7" x14ac:dyDescent="0.25">
      <c r="A1126" t="s">
        <v>2206</v>
      </c>
      <c r="B1126">
        <v>56.76</v>
      </c>
      <c r="C1126">
        <v>57.57</v>
      </c>
      <c r="D1126">
        <v>57.77</v>
      </c>
      <c r="E1126">
        <v>56.69</v>
      </c>
      <c r="F1126" t="s">
        <v>2207</v>
      </c>
      <c r="G1126" s="50">
        <v>-1.7500000000000002E-2</v>
      </c>
    </row>
    <row r="1127" spans="1:7" x14ac:dyDescent="0.25">
      <c r="A1127" t="s">
        <v>2208</v>
      </c>
      <c r="B1127">
        <v>57.77</v>
      </c>
      <c r="C1127">
        <v>57.9</v>
      </c>
      <c r="D1127">
        <v>58.62</v>
      </c>
      <c r="E1127">
        <v>57.69</v>
      </c>
      <c r="F1127" t="s">
        <v>1431</v>
      </c>
      <c r="G1127" s="50">
        <v>5.7000000000000002E-3</v>
      </c>
    </row>
    <row r="1128" spans="1:7" x14ac:dyDescent="0.25">
      <c r="A1128" t="s">
        <v>2209</v>
      </c>
      <c r="B1128">
        <v>57.44</v>
      </c>
      <c r="C1128">
        <v>57.07</v>
      </c>
      <c r="D1128">
        <v>57.63</v>
      </c>
      <c r="E1128">
        <v>56.9</v>
      </c>
      <c r="F1128" t="s">
        <v>2210</v>
      </c>
      <c r="G1128" s="50">
        <v>7.7000000000000002E-3</v>
      </c>
    </row>
    <row r="1129" spans="1:7" x14ac:dyDescent="0.25">
      <c r="A1129" t="s">
        <v>2211</v>
      </c>
      <c r="B1129">
        <v>57</v>
      </c>
      <c r="C1129">
        <v>57.1</v>
      </c>
      <c r="D1129">
        <v>57.52</v>
      </c>
      <c r="E1129">
        <v>56.59</v>
      </c>
      <c r="F1129" t="s">
        <v>2212</v>
      </c>
      <c r="G1129" s="50">
        <v>-1.1999999999999999E-3</v>
      </c>
    </row>
    <row r="1130" spans="1:7" x14ac:dyDescent="0.25">
      <c r="A1130" t="s">
        <v>2213</v>
      </c>
      <c r="B1130">
        <v>57.07</v>
      </c>
      <c r="C1130">
        <v>57.38</v>
      </c>
      <c r="D1130">
        <v>57.8</v>
      </c>
      <c r="E1130">
        <v>56.93</v>
      </c>
      <c r="F1130" t="s">
        <v>692</v>
      </c>
      <c r="G1130" s="50">
        <v>-8.9999999999999998E-4</v>
      </c>
    </row>
    <row r="1131" spans="1:7" x14ac:dyDescent="0.25">
      <c r="A1131" t="s">
        <v>2214</v>
      </c>
      <c r="B1131">
        <v>57.12</v>
      </c>
      <c r="C1131">
        <v>57.6</v>
      </c>
      <c r="D1131">
        <v>57.69</v>
      </c>
      <c r="E1131">
        <v>56.55</v>
      </c>
      <c r="F1131" t="s">
        <v>1308</v>
      </c>
      <c r="G1131" s="50">
        <v>-9.1999999999999998E-3</v>
      </c>
    </row>
    <row r="1132" spans="1:7" x14ac:dyDescent="0.25">
      <c r="A1132" t="s">
        <v>2215</v>
      </c>
      <c r="B1132">
        <v>57.65</v>
      </c>
      <c r="C1132">
        <v>57.58</v>
      </c>
      <c r="D1132">
        <v>57.93</v>
      </c>
      <c r="E1132">
        <v>57.12</v>
      </c>
      <c r="F1132" t="s">
        <v>2216</v>
      </c>
      <c r="G1132" s="50">
        <v>5.0000000000000001E-4</v>
      </c>
    </row>
    <row r="1133" spans="1:7" x14ac:dyDescent="0.25">
      <c r="A1133" t="s">
        <v>2217</v>
      </c>
      <c r="B1133">
        <v>57.62</v>
      </c>
      <c r="C1133">
        <v>56.37</v>
      </c>
      <c r="D1133">
        <v>57.87</v>
      </c>
      <c r="E1133">
        <v>56.28</v>
      </c>
      <c r="F1133" t="s">
        <v>807</v>
      </c>
      <c r="G1133" s="50">
        <v>2.7099999999999999E-2</v>
      </c>
    </row>
    <row r="1134" spans="1:7" x14ac:dyDescent="0.25">
      <c r="A1134" t="s">
        <v>2218</v>
      </c>
      <c r="B1134">
        <v>56.1</v>
      </c>
      <c r="C1134">
        <v>55.87</v>
      </c>
      <c r="D1134">
        <v>56.25</v>
      </c>
      <c r="E1134">
        <v>55.5</v>
      </c>
      <c r="F1134" t="s">
        <v>1478</v>
      </c>
      <c r="G1134" s="50">
        <v>2.3E-3</v>
      </c>
    </row>
    <row r="1135" spans="1:7" x14ac:dyDescent="0.25">
      <c r="A1135" t="s">
        <v>2219</v>
      </c>
      <c r="B1135">
        <v>55.97</v>
      </c>
      <c r="C1135">
        <v>56.31</v>
      </c>
      <c r="D1135">
        <v>56.58</v>
      </c>
      <c r="E1135">
        <v>55.86</v>
      </c>
      <c r="F1135" t="s">
        <v>2220</v>
      </c>
      <c r="G1135" s="50">
        <v>-4.7999999999999996E-3</v>
      </c>
    </row>
    <row r="1136" spans="1:7" x14ac:dyDescent="0.25">
      <c r="A1136" t="s">
        <v>2221</v>
      </c>
      <c r="B1136">
        <v>56.24</v>
      </c>
      <c r="C1136">
        <v>56.23</v>
      </c>
      <c r="D1136">
        <v>56.69</v>
      </c>
      <c r="E1136">
        <v>55.89</v>
      </c>
      <c r="F1136" t="s">
        <v>2222</v>
      </c>
      <c r="G1136" s="50">
        <v>1.1000000000000001E-3</v>
      </c>
    </row>
    <row r="1137" spans="1:7" x14ac:dyDescent="0.25">
      <c r="A1137" t="s">
        <v>2223</v>
      </c>
      <c r="B1137">
        <v>56.18</v>
      </c>
      <c r="C1137">
        <v>56.13</v>
      </c>
      <c r="D1137">
        <v>56.72</v>
      </c>
      <c r="E1137">
        <v>55.92</v>
      </c>
      <c r="F1137" t="s">
        <v>2224</v>
      </c>
      <c r="G1137" s="50">
        <v>6.6E-3</v>
      </c>
    </row>
    <row r="1138" spans="1:7" x14ac:dyDescent="0.25">
      <c r="A1138" t="s">
        <v>2225</v>
      </c>
      <c r="B1138">
        <v>55.81</v>
      </c>
      <c r="C1138">
        <v>55.56</v>
      </c>
      <c r="D1138">
        <v>56.35</v>
      </c>
      <c r="E1138">
        <v>55.4</v>
      </c>
      <c r="F1138" t="s">
        <v>1903</v>
      </c>
      <c r="G1138" s="50">
        <v>1.2200000000000001E-2</v>
      </c>
    </row>
    <row r="1139" spans="1:7" x14ac:dyDescent="0.25">
      <c r="A1139" t="s">
        <v>2226</v>
      </c>
      <c r="B1139">
        <v>55.14</v>
      </c>
      <c r="C1139">
        <v>55.11</v>
      </c>
      <c r="D1139">
        <v>55.41</v>
      </c>
      <c r="E1139">
        <v>54.81</v>
      </c>
      <c r="F1139" t="s">
        <v>2227</v>
      </c>
      <c r="G1139" s="50">
        <v>5.0000000000000001E-4</v>
      </c>
    </row>
    <row r="1140" spans="1:7" x14ac:dyDescent="0.25">
      <c r="A1140" t="s">
        <v>2228</v>
      </c>
      <c r="B1140">
        <v>55.11</v>
      </c>
      <c r="C1140">
        <v>55.55</v>
      </c>
      <c r="D1140">
        <v>55.86</v>
      </c>
      <c r="E1140">
        <v>54.94</v>
      </c>
      <c r="F1140" t="s">
        <v>1844</v>
      </c>
      <c r="G1140" s="50">
        <v>-1.04E-2</v>
      </c>
    </row>
    <row r="1141" spans="1:7" x14ac:dyDescent="0.25">
      <c r="A1141" t="s">
        <v>2229</v>
      </c>
      <c r="B1141">
        <v>55.69</v>
      </c>
      <c r="C1141">
        <v>56.04</v>
      </c>
      <c r="D1141">
        <v>56.12</v>
      </c>
      <c r="E1141">
        <v>55.52</v>
      </c>
      <c r="F1141" t="s">
        <v>2230</v>
      </c>
      <c r="G1141" s="50">
        <v>-9.1000000000000004E-3</v>
      </c>
    </row>
    <row r="1142" spans="1:7" x14ac:dyDescent="0.25">
      <c r="A1142" t="s">
        <v>2231</v>
      </c>
      <c r="B1142">
        <v>56.2</v>
      </c>
      <c r="C1142">
        <v>55.8</v>
      </c>
      <c r="D1142">
        <v>56.23</v>
      </c>
      <c r="E1142">
        <v>55.8</v>
      </c>
      <c r="F1142" t="s">
        <v>2232</v>
      </c>
      <c r="G1142" s="50">
        <v>8.3000000000000001E-3</v>
      </c>
    </row>
    <row r="1143" spans="1:7" x14ac:dyDescent="0.25">
      <c r="A1143" t="s">
        <v>2233</v>
      </c>
      <c r="B1143">
        <v>55.74</v>
      </c>
      <c r="C1143">
        <v>55.29</v>
      </c>
      <c r="D1143">
        <v>55.78</v>
      </c>
      <c r="E1143">
        <v>55.03</v>
      </c>
      <c r="F1143" t="s">
        <v>2234</v>
      </c>
      <c r="G1143" s="50">
        <v>0.01</v>
      </c>
    </row>
    <row r="1144" spans="1:7" x14ac:dyDescent="0.25">
      <c r="A1144" t="s">
        <v>2235</v>
      </c>
      <c r="B1144">
        <v>55.19</v>
      </c>
      <c r="C1144">
        <v>55.04</v>
      </c>
      <c r="D1144">
        <v>55.49</v>
      </c>
      <c r="E1144">
        <v>54.57</v>
      </c>
      <c r="F1144" t="s">
        <v>2236</v>
      </c>
      <c r="G1144" s="50">
        <v>-1.1000000000000001E-3</v>
      </c>
    </row>
    <row r="1145" spans="1:7" x14ac:dyDescent="0.25">
      <c r="A1145" t="s">
        <v>2237</v>
      </c>
      <c r="B1145">
        <v>55.25</v>
      </c>
      <c r="C1145">
        <v>55.89</v>
      </c>
      <c r="D1145">
        <v>55.89</v>
      </c>
      <c r="E1145">
        <v>54.96</v>
      </c>
      <c r="F1145" t="s">
        <v>1616</v>
      </c>
      <c r="G1145" s="50">
        <v>-7.1999999999999998E-3</v>
      </c>
    </row>
    <row r="1146" spans="1:7" x14ac:dyDescent="0.25">
      <c r="A1146" t="s">
        <v>2238</v>
      </c>
      <c r="B1146">
        <v>55.65</v>
      </c>
      <c r="C1146">
        <v>55.09</v>
      </c>
      <c r="D1146">
        <v>55.85</v>
      </c>
      <c r="E1146">
        <v>54.98</v>
      </c>
      <c r="F1146" t="s">
        <v>2210</v>
      </c>
      <c r="G1146" s="50">
        <v>1.89E-2</v>
      </c>
    </row>
    <row r="1147" spans="1:7" x14ac:dyDescent="0.25">
      <c r="A1147" t="s">
        <v>2239</v>
      </c>
      <c r="B1147">
        <v>54.62</v>
      </c>
      <c r="C1147">
        <v>54.32</v>
      </c>
      <c r="D1147">
        <v>54.75</v>
      </c>
      <c r="E1147">
        <v>54.08</v>
      </c>
      <c r="F1147" t="s">
        <v>2240</v>
      </c>
      <c r="G1147" s="50">
        <v>6.3E-3</v>
      </c>
    </row>
    <row r="1148" spans="1:7" x14ac:dyDescent="0.25">
      <c r="A1148" t="s">
        <v>2241</v>
      </c>
      <c r="B1148">
        <v>54.28</v>
      </c>
      <c r="C1148">
        <v>54.99</v>
      </c>
      <c r="D1148">
        <v>55.06</v>
      </c>
      <c r="E1148">
        <v>54.07</v>
      </c>
      <c r="F1148" t="s">
        <v>1722</v>
      </c>
      <c r="G1148" s="50">
        <v>-1.18E-2</v>
      </c>
    </row>
    <row r="1149" spans="1:7" x14ac:dyDescent="0.25">
      <c r="A1149" t="s">
        <v>2242</v>
      </c>
      <c r="B1149">
        <v>54.93</v>
      </c>
      <c r="C1149">
        <v>55.25</v>
      </c>
      <c r="D1149">
        <v>55.38</v>
      </c>
      <c r="E1149">
        <v>54.9</v>
      </c>
      <c r="F1149" t="s">
        <v>1098</v>
      </c>
      <c r="G1149" s="50">
        <v>-2.7000000000000001E-3</v>
      </c>
    </row>
    <row r="1150" spans="1:7" x14ac:dyDescent="0.25">
      <c r="A1150" t="s">
        <v>2243</v>
      </c>
      <c r="B1150">
        <v>55.08</v>
      </c>
      <c r="C1150">
        <v>55.2</v>
      </c>
      <c r="D1150">
        <v>55.3</v>
      </c>
      <c r="E1150">
        <v>54.75</v>
      </c>
      <c r="F1150" t="s">
        <v>2244</v>
      </c>
      <c r="G1150" s="50">
        <v>1.1000000000000001E-3</v>
      </c>
    </row>
    <row r="1151" spans="1:7" x14ac:dyDescent="0.25">
      <c r="A1151" t="s">
        <v>2245</v>
      </c>
      <c r="B1151">
        <v>55.02</v>
      </c>
      <c r="C1151">
        <v>54.49</v>
      </c>
      <c r="D1151">
        <v>55.41</v>
      </c>
      <c r="E1151">
        <v>54.35</v>
      </c>
      <c r="F1151" t="s">
        <v>313</v>
      </c>
      <c r="G1151" s="50">
        <v>0.02</v>
      </c>
    </row>
    <row r="1152" spans="1:7" x14ac:dyDescent="0.25">
      <c r="A1152" t="s">
        <v>2246</v>
      </c>
      <c r="B1152">
        <v>53.94</v>
      </c>
      <c r="C1152">
        <v>54.34</v>
      </c>
      <c r="D1152">
        <v>54.38</v>
      </c>
      <c r="E1152">
        <v>52.98</v>
      </c>
      <c r="F1152" t="s">
        <v>2247</v>
      </c>
      <c r="G1152" s="50">
        <v>-1.37E-2</v>
      </c>
    </row>
    <row r="1153" spans="1:7" x14ac:dyDescent="0.25">
      <c r="A1153" t="s">
        <v>2248</v>
      </c>
      <c r="B1153">
        <v>54.69</v>
      </c>
      <c r="C1153">
        <v>54.13</v>
      </c>
      <c r="D1153">
        <v>55.02</v>
      </c>
      <c r="E1153">
        <v>54.13</v>
      </c>
      <c r="F1153" t="s">
        <v>2249</v>
      </c>
      <c r="G1153" s="50">
        <v>8.5000000000000006E-3</v>
      </c>
    </row>
    <row r="1154" spans="1:7" x14ac:dyDescent="0.25">
      <c r="A1154" t="s">
        <v>2250</v>
      </c>
      <c r="B1154">
        <v>54.23</v>
      </c>
      <c r="C1154">
        <v>54.5</v>
      </c>
      <c r="D1154">
        <v>54.68</v>
      </c>
      <c r="E1154">
        <v>53.95</v>
      </c>
      <c r="F1154" t="s">
        <v>839</v>
      </c>
      <c r="G1154" s="50">
        <v>-1.6500000000000001E-2</v>
      </c>
    </row>
    <row r="1155" spans="1:7" x14ac:dyDescent="0.25">
      <c r="A1155" t="s">
        <v>2251</v>
      </c>
      <c r="B1155">
        <v>55.14</v>
      </c>
      <c r="C1155">
        <v>54.6</v>
      </c>
      <c r="D1155">
        <v>55.41</v>
      </c>
      <c r="E1155">
        <v>54.04</v>
      </c>
      <c r="F1155" t="s">
        <v>998</v>
      </c>
      <c r="G1155" s="50">
        <v>1.2999999999999999E-2</v>
      </c>
    </row>
    <row r="1156" spans="1:7" x14ac:dyDescent="0.25">
      <c r="A1156" t="s">
        <v>2252</v>
      </c>
      <c r="B1156">
        <v>54.43</v>
      </c>
      <c r="C1156">
        <v>55.8</v>
      </c>
      <c r="D1156">
        <v>55.9</v>
      </c>
      <c r="E1156">
        <v>54.41</v>
      </c>
      <c r="F1156" t="s">
        <v>326</v>
      </c>
      <c r="G1156" s="50">
        <v>-1.89E-2</v>
      </c>
    </row>
    <row r="1157" spans="1:7" x14ac:dyDescent="0.25">
      <c r="A1157" t="s">
        <v>2253</v>
      </c>
      <c r="B1157">
        <v>55.48</v>
      </c>
      <c r="C1157">
        <v>55.62</v>
      </c>
      <c r="D1157">
        <v>55.98</v>
      </c>
      <c r="E1157">
        <v>55.34</v>
      </c>
      <c r="F1157" t="s">
        <v>2254</v>
      </c>
      <c r="G1157" s="50">
        <v>-6.9999999999999999E-4</v>
      </c>
    </row>
    <row r="1158" spans="1:7" x14ac:dyDescent="0.25">
      <c r="A1158" t="s">
        <v>2255</v>
      </c>
      <c r="B1158">
        <v>55.52</v>
      </c>
      <c r="C1158">
        <v>55.78</v>
      </c>
      <c r="D1158">
        <v>55.98</v>
      </c>
      <c r="E1158">
        <v>55.41</v>
      </c>
      <c r="F1158" t="s">
        <v>387</v>
      </c>
      <c r="G1158" s="50">
        <v>-1.2500000000000001E-2</v>
      </c>
    </row>
    <row r="1159" spans="1:7" x14ac:dyDescent="0.25">
      <c r="A1159" t="s">
        <v>2256</v>
      </c>
      <c r="B1159">
        <v>56.22</v>
      </c>
      <c r="C1159">
        <v>56.46</v>
      </c>
      <c r="D1159">
        <v>56.67</v>
      </c>
      <c r="E1159">
        <v>56.05</v>
      </c>
      <c r="F1159" t="s">
        <v>2257</v>
      </c>
      <c r="G1159" s="50">
        <v>-8.9999999999999993E-3</v>
      </c>
    </row>
    <row r="1160" spans="1:7" x14ac:dyDescent="0.25">
      <c r="A1160" t="s">
        <v>2258</v>
      </c>
      <c r="B1160">
        <v>56.73</v>
      </c>
      <c r="C1160">
        <v>56.45</v>
      </c>
      <c r="D1160">
        <v>56.81</v>
      </c>
      <c r="E1160">
        <v>56.22</v>
      </c>
      <c r="F1160" t="s">
        <v>1287</v>
      </c>
      <c r="G1160" s="50">
        <v>6.9999999999999999E-4</v>
      </c>
    </row>
    <row r="1161" spans="1:7" x14ac:dyDescent="0.25">
      <c r="A1161" t="s">
        <v>2259</v>
      </c>
      <c r="B1161">
        <v>56.69</v>
      </c>
      <c r="C1161">
        <v>55.7</v>
      </c>
      <c r="D1161">
        <v>56.9</v>
      </c>
      <c r="E1161">
        <v>55.6</v>
      </c>
      <c r="F1161" t="s">
        <v>508</v>
      </c>
      <c r="G1161" s="50">
        <v>2.1100000000000001E-2</v>
      </c>
    </row>
    <row r="1162" spans="1:7" x14ac:dyDescent="0.25">
      <c r="A1162" t="s">
        <v>2260</v>
      </c>
      <c r="B1162">
        <v>55.52</v>
      </c>
      <c r="C1162">
        <v>55.76</v>
      </c>
      <c r="D1162">
        <v>56.13</v>
      </c>
      <c r="E1162">
        <v>55.37</v>
      </c>
      <c r="F1162" t="s">
        <v>409</v>
      </c>
      <c r="G1162" s="50">
        <v>4.7000000000000002E-3</v>
      </c>
    </row>
    <row r="1163" spans="1:7" x14ac:dyDescent="0.25">
      <c r="A1163" t="s">
        <v>2261</v>
      </c>
      <c r="B1163">
        <v>55.26</v>
      </c>
      <c r="C1163">
        <v>55.96</v>
      </c>
      <c r="D1163">
        <v>56.37</v>
      </c>
      <c r="E1163">
        <v>55.23</v>
      </c>
      <c r="F1163" t="s">
        <v>1039</v>
      </c>
      <c r="G1163" s="50">
        <v>-1.1299999999999999E-2</v>
      </c>
    </row>
    <row r="1164" spans="1:7" x14ac:dyDescent="0.25">
      <c r="A1164" t="s">
        <v>2262</v>
      </c>
      <c r="B1164">
        <v>55.89</v>
      </c>
      <c r="C1164">
        <v>56.38</v>
      </c>
      <c r="D1164">
        <v>56.4</v>
      </c>
      <c r="E1164">
        <v>55.29</v>
      </c>
      <c r="F1164" t="s">
        <v>2263</v>
      </c>
      <c r="G1164" s="50">
        <v>-1.6899999999999998E-2</v>
      </c>
    </row>
    <row r="1165" spans="1:7" x14ac:dyDescent="0.25">
      <c r="A1165" t="s">
        <v>2264</v>
      </c>
      <c r="B1165">
        <v>56.85</v>
      </c>
      <c r="C1165">
        <v>57.39</v>
      </c>
      <c r="D1165">
        <v>57.45</v>
      </c>
      <c r="E1165">
        <v>56.47</v>
      </c>
      <c r="F1165" t="s">
        <v>2265</v>
      </c>
      <c r="G1165" s="50">
        <v>-8.3999999999999995E-3</v>
      </c>
    </row>
    <row r="1166" spans="1:7" x14ac:dyDescent="0.25">
      <c r="A1166" t="s">
        <v>2266</v>
      </c>
      <c r="B1166">
        <v>57.33</v>
      </c>
      <c r="C1166">
        <v>58.31</v>
      </c>
      <c r="D1166">
        <v>58.82</v>
      </c>
      <c r="E1166">
        <v>57.12</v>
      </c>
      <c r="F1166" t="s">
        <v>2267</v>
      </c>
      <c r="G1166" s="50">
        <v>-4.0000000000000001E-3</v>
      </c>
    </row>
    <row r="1167" spans="1:7" x14ac:dyDescent="0.25">
      <c r="A1167" t="s">
        <v>2268</v>
      </c>
      <c r="B1167">
        <v>57.56</v>
      </c>
      <c r="C1167">
        <v>57.78</v>
      </c>
      <c r="D1167">
        <v>59.6</v>
      </c>
      <c r="E1167">
        <v>57.06</v>
      </c>
      <c r="F1167" t="s">
        <v>2269</v>
      </c>
      <c r="G1167" s="50">
        <v>-5.4000000000000003E-3</v>
      </c>
    </row>
    <row r="1168" spans="1:7" x14ac:dyDescent="0.25">
      <c r="A1168" t="s">
        <v>2270</v>
      </c>
      <c r="B1168">
        <v>57.87</v>
      </c>
      <c r="C1168">
        <v>58.24</v>
      </c>
      <c r="D1168">
        <v>58.47</v>
      </c>
      <c r="E1168">
        <v>57.66</v>
      </c>
      <c r="F1168" t="s">
        <v>2271</v>
      </c>
      <c r="G1168" s="50">
        <v>-4.0000000000000001E-3</v>
      </c>
    </row>
    <row r="1169" spans="1:7" x14ac:dyDescent="0.25">
      <c r="A1169" t="s">
        <v>2272</v>
      </c>
      <c r="B1169">
        <v>58.1</v>
      </c>
      <c r="C1169">
        <v>58.16</v>
      </c>
      <c r="D1169">
        <v>58.53</v>
      </c>
      <c r="E1169">
        <v>57.73</v>
      </c>
      <c r="F1169" t="s">
        <v>2220</v>
      </c>
      <c r="G1169" s="50">
        <v>3.5999999999999999E-3</v>
      </c>
    </row>
    <row r="1170" spans="1:7" x14ac:dyDescent="0.25">
      <c r="A1170" t="s">
        <v>2273</v>
      </c>
      <c r="B1170">
        <v>57.89</v>
      </c>
      <c r="C1170">
        <v>58.75</v>
      </c>
      <c r="D1170">
        <v>58.95</v>
      </c>
      <c r="E1170">
        <v>57.82</v>
      </c>
      <c r="F1170" t="s">
        <v>2274</v>
      </c>
      <c r="G1170" s="50">
        <v>-1.21E-2</v>
      </c>
    </row>
    <row r="1171" spans="1:7" x14ac:dyDescent="0.25">
      <c r="A1171" t="s">
        <v>2275</v>
      </c>
      <c r="B1171">
        <v>58.6</v>
      </c>
      <c r="C1171">
        <v>58.45</v>
      </c>
      <c r="D1171">
        <v>58.94</v>
      </c>
      <c r="E1171">
        <v>58.25</v>
      </c>
      <c r="F1171" t="s">
        <v>960</v>
      </c>
      <c r="G1171" s="50">
        <v>-1.4E-3</v>
      </c>
    </row>
    <row r="1172" spans="1:7" x14ac:dyDescent="0.25">
      <c r="A1172" t="s">
        <v>2276</v>
      </c>
      <c r="B1172">
        <v>58.68</v>
      </c>
      <c r="C1172">
        <v>58.55</v>
      </c>
      <c r="D1172">
        <v>58.93</v>
      </c>
      <c r="E1172">
        <v>58.49</v>
      </c>
      <c r="F1172" t="s">
        <v>1600</v>
      </c>
      <c r="G1172" s="50">
        <v>-3.3999999999999998E-3</v>
      </c>
    </row>
    <row r="1173" spans="1:7" x14ac:dyDescent="0.25">
      <c r="A1173" t="s">
        <v>2277</v>
      </c>
      <c r="B1173">
        <v>58.88</v>
      </c>
      <c r="C1173">
        <v>59.23</v>
      </c>
      <c r="D1173">
        <v>59.37</v>
      </c>
      <c r="E1173">
        <v>58.75</v>
      </c>
      <c r="F1173" t="s">
        <v>1546</v>
      </c>
      <c r="G1173" s="50">
        <v>-9.1000000000000004E-3</v>
      </c>
    </row>
    <row r="1174" spans="1:7" x14ac:dyDescent="0.25">
      <c r="A1174" t="s">
        <v>2278</v>
      </c>
      <c r="B1174">
        <v>59.42</v>
      </c>
      <c r="C1174">
        <v>59.33</v>
      </c>
      <c r="D1174">
        <v>59.66</v>
      </c>
      <c r="E1174">
        <v>59.28</v>
      </c>
      <c r="F1174" t="s">
        <v>2279</v>
      </c>
      <c r="G1174" s="50">
        <v>-1.8E-3</v>
      </c>
    </row>
    <row r="1175" spans="1:7" x14ac:dyDescent="0.25">
      <c r="A1175" t="s">
        <v>2280</v>
      </c>
      <c r="B1175">
        <v>59.53</v>
      </c>
      <c r="C1175">
        <v>59.35</v>
      </c>
      <c r="D1175">
        <v>59.72</v>
      </c>
      <c r="E1175">
        <v>59.06</v>
      </c>
      <c r="F1175" t="s">
        <v>2281</v>
      </c>
      <c r="G1175" s="50">
        <v>8.3000000000000001E-3</v>
      </c>
    </row>
    <row r="1176" spans="1:7" x14ac:dyDescent="0.25">
      <c r="A1176" t="s">
        <v>2282</v>
      </c>
      <c r="B1176">
        <v>59.04</v>
      </c>
      <c r="C1176">
        <v>59.02</v>
      </c>
      <c r="D1176">
        <v>59.14</v>
      </c>
      <c r="E1176">
        <v>58.66</v>
      </c>
      <c r="F1176" t="s">
        <v>2283</v>
      </c>
      <c r="G1176" s="50">
        <v>2.9999999999999997E-4</v>
      </c>
    </row>
    <row r="1177" spans="1:7" x14ac:dyDescent="0.25">
      <c r="A1177" t="s">
        <v>2284</v>
      </c>
      <c r="B1177">
        <v>59.02</v>
      </c>
      <c r="C1177">
        <v>59.11</v>
      </c>
      <c r="D1177">
        <v>59.17</v>
      </c>
      <c r="E1177">
        <v>58.58</v>
      </c>
      <c r="F1177" t="s">
        <v>2285</v>
      </c>
      <c r="G1177" s="50">
        <v>-1.9E-3</v>
      </c>
    </row>
    <row r="1178" spans="1:7" x14ac:dyDescent="0.25">
      <c r="A1178" t="s">
        <v>2286</v>
      </c>
      <c r="B1178">
        <v>59.13</v>
      </c>
      <c r="C1178">
        <v>58.98</v>
      </c>
      <c r="D1178">
        <v>59.22</v>
      </c>
      <c r="E1178">
        <v>58.8</v>
      </c>
      <c r="F1178" t="s">
        <v>2287</v>
      </c>
      <c r="G1178" s="50">
        <v>1.9E-3</v>
      </c>
    </row>
    <row r="1179" spans="1:7" x14ac:dyDescent="0.25">
      <c r="A1179" t="s">
        <v>2288</v>
      </c>
      <c r="B1179">
        <v>59.02</v>
      </c>
      <c r="C1179">
        <v>59.27</v>
      </c>
      <c r="D1179">
        <v>59.35</v>
      </c>
      <c r="E1179">
        <v>58.86</v>
      </c>
      <c r="F1179" t="s">
        <v>2289</v>
      </c>
      <c r="G1179" s="50">
        <v>-3.0000000000000001E-3</v>
      </c>
    </row>
    <row r="1180" spans="1:7" x14ac:dyDescent="0.25">
      <c r="A1180" t="s">
        <v>2290</v>
      </c>
      <c r="B1180">
        <v>59.2</v>
      </c>
      <c r="C1180">
        <v>59.42</v>
      </c>
      <c r="D1180">
        <v>59.63</v>
      </c>
      <c r="E1180">
        <v>58.98</v>
      </c>
      <c r="F1180" t="s">
        <v>2291</v>
      </c>
      <c r="G1180" s="50">
        <v>-2.5000000000000001E-3</v>
      </c>
    </row>
    <row r="1181" spans="1:7" x14ac:dyDescent="0.25">
      <c r="A1181" t="s">
        <v>2292</v>
      </c>
      <c r="B1181">
        <v>59.35</v>
      </c>
      <c r="C1181">
        <v>59.54</v>
      </c>
      <c r="D1181">
        <v>60.27</v>
      </c>
      <c r="E1181">
        <v>59.17</v>
      </c>
      <c r="F1181" t="s">
        <v>1308</v>
      </c>
      <c r="G1181" s="50">
        <v>5.0000000000000001E-4</v>
      </c>
    </row>
    <row r="1182" spans="1:7" x14ac:dyDescent="0.25">
      <c r="A1182" t="s">
        <v>2293</v>
      </c>
      <c r="B1182">
        <v>59.32</v>
      </c>
      <c r="C1182">
        <v>58.49</v>
      </c>
      <c r="D1182">
        <v>59.43</v>
      </c>
      <c r="E1182">
        <v>58.43</v>
      </c>
      <c r="F1182" t="s">
        <v>2294</v>
      </c>
      <c r="G1182" s="50">
        <v>1.3299999999999999E-2</v>
      </c>
    </row>
    <row r="1183" spans="1:7" x14ac:dyDescent="0.25">
      <c r="A1183" t="s">
        <v>2295</v>
      </c>
      <c r="B1183">
        <v>58.54</v>
      </c>
      <c r="C1183">
        <v>57.85</v>
      </c>
      <c r="D1183">
        <v>58.7</v>
      </c>
      <c r="E1183">
        <v>57.74</v>
      </c>
      <c r="F1183" t="s">
        <v>2296</v>
      </c>
      <c r="G1183" s="50">
        <v>5.4999999999999997E-3</v>
      </c>
    </row>
    <row r="1184" spans="1:7" x14ac:dyDescent="0.25">
      <c r="A1184" t="s">
        <v>2297</v>
      </c>
      <c r="B1184">
        <v>58.22</v>
      </c>
      <c r="C1184">
        <v>57.25</v>
      </c>
      <c r="D1184">
        <v>58.34</v>
      </c>
      <c r="E1184">
        <v>56.85</v>
      </c>
      <c r="F1184" t="s">
        <v>2298</v>
      </c>
      <c r="G1184" s="50">
        <v>1.66E-2</v>
      </c>
    </row>
    <row r="1185" spans="1:7" x14ac:dyDescent="0.25">
      <c r="A1185" t="s">
        <v>2299</v>
      </c>
      <c r="B1185">
        <v>57.27</v>
      </c>
      <c r="C1185">
        <v>54.76</v>
      </c>
      <c r="D1185">
        <v>57.49</v>
      </c>
      <c r="E1185">
        <v>54.59</v>
      </c>
      <c r="F1185" t="s">
        <v>2300</v>
      </c>
      <c r="G1185" s="50">
        <v>3.8399999999999997E-2</v>
      </c>
    </row>
    <row r="1186" spans="1:7" x14ac:dyDescent="0.25">
      <c r="A1186" t="s">
        <v>2301</v>
      </c>
      <c r="B1186">
        <v>55.15</v>
      </c>
      <c r="C1186">
        <v>55.79</v>
      </c>
      <c r="D1186">
        <v>56.13</v>
      </c>
      <c r="E1186">
        <v>55.02</v>
      </c>
      <c r="F1186" t="s">
        <v>1403</v>
      </c>
      <c r="G1186" s="50">
        <v>-1.54E-2</v>
      </c>
    </row>
    <row r="1187" spans="1:7" x14ac:dyDescent="0.25">
      <c r="A1187" t="s">
        <v>2302</v>
      </c>
      <c r="B1187">
        <v>56.01</v>
      </c>
      <c r="C1187">
        <v>55.87</v>
      </c>
      <c r="D1187">
        <v>56.02</v>
      </c>
      <c r="E1187">
        <v>55.62</v>
      </c>
      <c r="F1187" t="s">
        <v>2303</v>
      </c>
      <c r="G1187" s="50">
        <v>-4.7999999999999996E-3</v>
      </c>
    </row>
    <row r="1188" spans="1:7" x14ac:dyDescent="0.25">
      <c r="A1188" t="s">
        <v>2304</v>
      </c>
      <c r="B1188">
        <v>56.28</v>
      </c>
      <c r="C1188">
        <v>56.3</v>
      </c>
      <c r="D1188">
        <v>56.43</v>
      </c>
      <c r="E1188">
        <v>55.93</v>
      </c>
      <c r="F1188" t="s">
        <v>1190</v>
      </c>
      <c r="G1188" s="50">
        <v>-3.3999999999999998E-3</v>
      </c>
    </row>
    <row r="1189" spans="1:7" x14ac:dyDescent="0.25">
      <c r="A1189" t="s">
        <v>2305</v>
      </c>
      <c r="B1189">
        <v>56.47</v>
      </c>
      <c r="C1189">
        <v>56.39</v>
      </c>
      <c r="D1189">
        <v>56.62</v>
      </c>
      <c r="E1189">
        <v>56.26</v>
      </c>
      <c r="F1189" t="s">
        <v>2306</v>
      </c>
      <c r="G1189" s="50">
        <v>1.4E-3</v>
      </c>
    </row>
    <row r="1190" spans="1:7" x14ac:dyDescent="0.25">
      <c r="A1190" t="s">
        <v>2307</v>
      </c>
      <c r="B1190">
        <v>56.39</v>
      </c>
      <c r="C1190">
        <v>55.85</v>
      </c>
      <c r="D1190">
        <v>56.45</v>
      </c>
      <c r="E1190">
        <v>55.66</v>
      </c>
      <c r="F1190" t="s">
        <v>2222</v>
      </c>
      <c r="G1190" s="50">
        <v>9.4999999999999998E-3</v>
      </c>
    </row>
    <row r="1191" spans="1:7" x14ac:dyDescent="0.25">
      <c r="A1191" t="s">
        <v>2308</v>
      </c>
      <c r="B1191">
        <v>55.86</v>
      </c>
      <c r="C1191">
        <v>55.89</v>
      </c>
      <c r="D1191">
        <v>56.01</v>
      </c>
      <c r="E1191">
        <v>55.6</v>
      </c>
      <c r="F1191" t="s">
        <v>2309</v>
      </c>
      <c r="G1191" s="50">
        <v>4.4999999999999997E-3</v>
      </c>
    </row>
    <row r="1192" spans="1:7" x14ac:dyDescent="0.25">
      <c r="A1192" t="s">
        <v>2310</v>
      </c>
      <c r="B1192">
        <v>55.61</v>
      </c>
      <c r="C1192">
        <v>55.5</v>
      </c>
      <c r="D1192">
        <v>55.67</v>
      </c>
      <c r="E1192">
        <v>55.25</v>
      </c>
      <c r="F1192" t="s">
        <v>2311</v>
      </c>
      <c r="G1192" s="50">
        <v>2.5000000000000001E-3</v>
      </c>
    </row>
    <row r="1193" spans="1:7" x14ac:dyDescent="0.25">
      <c r="A1193" t="s">
        <v>2312</v>
      </c>
      <c r="B1193">
        <v>55.47</v>
      </c>
      <c r="C1193">
        <v>55.82</v>
      </c>
      <c r="D1193">
        <v>56.07</v>
      </c>
      <c r="E1193">
        <v>55.4</v>
      </c>
      <c r="F1193" t="s">
        <v>2313</v>
      </c>
      <c r="G1193" s="50">
        <v>-2.2000000000000001E-3</v>
      </c>
    </row>
    <row r="1194" spans="1:7" x14ac:dyDescent="0.25">
      <c r="A1194" t="s">
        <v>2314</v>
      </c>
      <c r="B1194">
        <v>55.59</v>
      </c>
      <c r="C1194">
        <v>55.47</v>
      </c>
      <c r="D1194">
        <v>55.95</v>
      </c>
      <c r="E1194">
        <v>55.15</v>
      </c>
      <c r="F1194" t="s">
        <v>1501</v>
      </c>
      <c r="G1194" s="50">
        <v>-3.0000000000000001E-3</v>
      </c>
    </row>
    <row r="1195" spans="1:7" x14ac:dyDescent="0.25">
      <c r="A1195" t="s">
        <v>2315</v>
      </c>
      <c r="B1195">
        <v>55.76</v>
      </c>
      <c r="C1195">
        <v>55.52</v>
      </c>
      <c r="D1195">
        <v>55.98</v>
      </c>
      <c r="E1195">
        <v>55.5</v>
      </c>
      <c r="F1195" t="s">
        <v>2316</v>
      </c>
      <c r="G1195" s="50">
        <v>1.2999999999999999E-3</v>
      </c>
    </row>
    <row r="1196" spans="1:7" x14ac:dyDescent="0.25">
      <c r="A1196" t="s">
        <v>2317</v>
      </c>
      <c r="B1196">
        <v>55.69</v>
      </c>
      <c r="C1196">
        <v>56.37</v>
      </c>
      <c r="D1196">
        <v>56.37</v>
      </c>
      <c r="E1196">
        <v>55.47</v>
      </c>
      <c r="F1196" t="s">
        <v>2318</v>
      </c>
      <c r="G1196" s="50">
        <v>-0.01</v>
      </c>
    </row>
    <row r="1197" spans="1:7" x14ac:dyDescent="0.25">
      <c r="A1197" t="s">
        <v>2319</v>
      </c>
      <c r="B1197">
        <v>56.25</v>
      </c>
      <c r="C1197">
        <v>55.53</v>
      </c>
      <c r="D1197">
        <v>56.41</v>
      </c>
      <c r="E1197">
        <v>55.27</v>
      </c>
      <c r="F1197" t="s">
        <v>1609</v>
      </c>
      <c r="G1197" s="50">
        <v>1.44E-2</v>
      </c>
    </row>
    <row r="1198" spans="1:7" x14ac:dyDescent="0.25">
      <c r="A1198" s="38" t="s">
        <v>2320</v>
      </c>
      <c r="B1198" s="38">
        <v>55.45</v>
      </c>
      <c r="C1198">
        <v>55.6</v>
      </c>
      <c r="D1198">
        <v>55.94</v>
      </c>
      <c r="E1198">
        <v>55.26</v>
      </c>
      <c r="F1198" t="s">
        <v>1726</v>
      </c>
      <c r="G1198" s="50">
        <v>1.4E-3</v>
      </c>
    </row>
    <row r="1199" spans="1:7" x14ac:dyDescent="0.25">
      <c r="A1199" t="s">
        <v>2321</v>
      </c>
      <c r="B1199">
        <v>55.37</v>
      </c>
      <c r="C1199">
        <v>55.08</v>
      </c>
      <c r="D1199">
        <v>55.49</v>
      </c>
      <c r="E1199">
        <v>55.01</v>
      </c>
      <c r="F1199" t="s">
        <v>2322</v>
      </c>
      <c r="G1199" s="50">
        <v>5.4000000000000003E-3</v>
      </c>
    </row>
    <row r="1200" spans="1:7" x14ac:dyDescent="0.25">
      <c r="A1200" t="s">
        <v>2323</v>
      </c>
      <c r="B1200">
        <v>55.07</v>
      </c>
      <c r="C1200">
        <v>55</v>
      </c>
      <c r="D1200">
        <v>55.35</v>
      </c>
      <c r="E1200">
        <v>54.9</v>
      </c>
      <c r="F1200" t="s">
        <v>2324</v>
      </c>
      <c r="G1200" s="50">
        <v>5.4999999999999997E-3</v>
      </c>
    </row>
    <row r="1201" spans="1:7" x14ac:dyDescent="0.25">
      <c r="A1201" t="s">
        <v>2325</v>
      </c>
      <c r="B1201">
        <v>54.77</v>
      </c>
      <c r="C1201">
        <v>55.46</v>
      </c>
      <c r="D1201">
        <v>55.52</v>
      </c>
      <c r="E1201">
        <v>54.41</v>
      </c>
      <c r="F1201" t="s">
        <v>1062</v>
      </c>
      <c r="G1201" s="50">
        <v>-9.1999999999999998E-3</v>
      </c>
    </row>
    <row r="1202" spans="1:7" x14ac:dyDescent="0.25">
      <c r="A1202" t="s">
        <v>2326</v>
      </c>
      <c r="B1202">
        <v>55.28</v>
      </c>
      <c r="C1202">
        <v>55.38</v>
      </c>
      <c r="D1202">
        <v>55.41</v>
      </c>
      <c r="E1202">
        <v>54.79</v>
      </c>
      <c r="F1202" t="s">
        <v>2327</v>
      </c>
      <c r="G1202" s="50">
        <v>-3.3999999999999998E-3</v>
      </c>
    </row>
    <row r="1203" spans="1:7" x14ac:dyDescent="0.25">
      <c r="A1203" t="s">
        <v>2328</v>
      </c>
      <c r="B1203">
        <v>55.47</v>
      </c>
      <c r="C1203">
        <v>55.13</v>
      </c>
      <c r="D1203">
        <v>55.65</v>
      </c>
      <c r="E1203">
        <v>55.13</v>
      </c>
      <c r="F1203" t="s">
        <v>2329</v>
      </c>
      <c r="G1203" s="50">
        <v>4.3E-3</v>
      </c>
    </row>
    <row r="1204" spans="1:7" x14ac:dyDescent="0.25">
      <c r="A1204" t="s">
        <v>2330</v>
      </c>
      <c r="B1204">
        <v>55.23</v>
      </c>
      <c r="C1204">
        <v>54.89</v>
      </c>
      <c r="D1204">
        <v>55.34</v>
      </c>
      <c r="E1204">
        <v>54.51</v>
      </c>
      <c r="F1204" t="s">
        <v>617</v>
      </c>
      <c r="G1204" s="50">
        <v>1.2699999999999999E-2</v>
      </c>
    </row>
    <row r="1205" spans="1:7" x14ac:dyDescent="0.25">
      <c r="A1205" t="s">
        <v>2331</v>
      </c>
      <c r="B1205">
        <v>54.54</v>
      </c>
      <c r="C1205">
        <v>53.91</v>
      </c>
      <c r="D1205">
        <v>54.55</v>
      </c>
      <c r="E1205">
        <v>53.78</v>
      </c>
      <c r="F1205" t="s">
        <v>1128</v>
      </c>
      <c r="G1205" s="50">
        <v>1.2200000000000001E-2</v>
      </c>
    </row>
    <row r="1206" spans="1:7" x14ac:dyDescent="0.25">
      <c r="A1206" t="s">
        <v>2332</v>
      </c>
      <c r="B1206">
        <v>53.88</v>
      </c>
      <c r="C1206">
        <v>53.82</v>
      </c>
      <c r="D1206">
        <v>53.9</v>
      </c>
      <c r="E1206">
        <v>53.42</v>
      </c>
      <c r="F1206" t="s">
        <v>1674</v>
      </c>
      <c r="G1206" s="50">
        <v>5.5999999999999999E-3</v>
      </c>
    </row>
    <row r="1207" spans="1:7" x14ac:dyDescent="0.25">
      <c r="A1207" t="s">
        <v>2333</v>
      </c>
      <c r="B1207">
        <v>53.58</v>
      </c>
      <c r="C1207">
        <v>53.28</v>
      </c>
      <c r="D1207">
        <v>53.93</v>
      </c>
      <c r="E1207">
        <v>53.19</v>
      </c>
      <c r="F1207" t="s">
        <v>1672</v>
      </c>
      <c r="G1207" s="50">
        <v>9.7999999999999997E-3</v>
      </c>
    </row>
    <row r="1208" spans="1:7" x14ac:dyDescent="0.25">
      <c r="A1208" t="s">
        <v>2334</v>
      </c>
      <c r="B1208">
        <v>53.06</v>
      </c>
      <c r="C1208">
        <v>53.67</v>
      </c>
      <c r="D1208">
        <v>53.7</v>
      </c>
      <c r="E1208">
        <v>52.73</v>
      </c>
      <c r="F1208" t="s">
        <v>2335</v>
      </c>
      <c r="G1208" s="50">
        <v>-1.1900000000000001E-2</v>
      </c>
    </row>
    <row r="1209" spans="1:7" x14ac:dyDescent="0.25">
      <c r="A1209" t="s">
        <v>2336</v>
      </c>
      <c r="B1209">
        <v>53.7</v>
      </c>
      <c r="C1209">
        <v>53.88</v>
      </c>
      <c r="D1209">
        <v>54.41</v>
      </c>
      <c r="E1209">
        <v>53.65</v>
      </c>
      <c r="F1209" t="s">
        <v>2249</v>
      </c>
      <c r="G1209" s="50">
        <v>8.9999999999999998E-4</v>
      </c>
    </row>
    <row r="1210" spans="1:7" x14ac:dyDescent="0.25">
      <c r="A1210" t="s">
        <v>2337</v>
      </c>
      <c r="B1210">
        <v>53.65</v>
      </c>
      <c r="C1210">
        <v>53.84</v>
      </c>
      <c r="D1210">
        <v>53.87</v>
      </c>
      <c r="E1210">
        <v>53.24</v>
      </c>
      <c r="F1210" t="s">
        <v>568</v>
      </c>
      <c r="G1210" s="50">
        <v>-8.0999999999999996E-3</v>
      </c>
    </row>
    <row r="1211" spans="1:7" x14ac:dyDescent="0.25">
      <c r="A1211" t="s">
        <v>2338</v>
      </c>
      <c r="B1211">
        <v>54.09</v>
      </c>
      <c r="C1211">
        <v>53.5</v>
      </c>
      <c r="D1211">
        <v>54.2</v>
      </c>
      <c r="E1211">
        <v>53.34</v>
      </c>
      <c r="F1211" t="s">
        <v>1403</v>
      </c>
      <c r="G1211" s="50">
        <v>1.44E-2</v>
      </c>
    </row>
    <row r="1212" spans="1:7" x14ac:dyDescent="0.25">
      <c r="A1212" t="s">
        <v>2339</v>
      </c>
      <c r="B1212">
        <v>53.32</v>
      </c>
      <c r="C1212">
        <v>53.34</v>
      </c>
      <c r="D1212">
        <v>53.58</v>
      </c>
      <c r="E1212">
        <v>53.2</v>
      </c>
      <c r="F1212" t="s">
        <v>2340</v>
      </c>
      <c r="G1212" s="50">
        <v>1.6999999999999999E-3</v>
      </c>
    </row>
    <row r="1213" spans="1:7" x14ac:dyDescent="0.25">
      <c r="A1213" t="s">
        <v>2341</v>
      </c>
      <c r="B1213">
        <v>53.23</v>
      </c>
      <c r="C1213">
        <v>54.04</v>
      </c>
      <c r="D1213">
        <v>54.04</v>
      </c>
      <c r="E1213">
        <v>53.13</v>
      </c>
      <c r="F1213" t="s">
        <v>2342</v>
      </c>
      <c r="G1213" s="50">
        <v>-9.4999999999999998E-3</v>
      </c>
    </row>
    <row r="1214" spans="1:7" x14ac:dyDescent="0.25">
      <c r="A1214" t="s">
        <v>2343</v>
      </c>
      <c r="B1214">
        <v>53.74</v>
      </c>
      <c r="C1214">
        <v>53.36</v>
      </c>
      <c r="D1214">
        <v>53.93</v>
      </c>
      <c r="E1214">
        <v>53.29</v>
      </c>
      <c r="F1214" t="s">
        <v>621</v>
      </c>
      <c r="G1214" s="50">
        <v>8.9999999999999993E-3</v>
      </c>
    </row>
    <row r="1215" spans="1:7" x14ac:dyDescent="0.25">
      <c r="A1215" t="s">
        <v>2344</v>
      </c>
      <c r="B1215">
        <v>53.26</v>
      </c>
      <c r="C1215">
        <v>53.16</v>
      </c>
      <c r="D1215">
        <v>53.72</v>
      </c>
      <c r="E1215">
        <v>52.91</v>
      </c>
      <c r="F1215" t="s">
        <v>2345</v>
      </c>
      <c r="G1215" s="50">
        <v>0</v>
      </c>
    </row>
    <row r="1216" spans="1:7" x14ac:dyDescent="0.25">
      <c r="A1216" t="s">
        <v>2346</v>
      </c>
      <c r="B1216">
        <v>53.26</v>
      </c>
      <c r="C1216">
        <v>53.07</v>
      </c>
      <c r="D1216">
        <v>53.3</v>
      </c>
      <c r="E1216">
        <v>52.67</v>
      </c>
      <c r="F1216" t="s">
        <v>1190</v>
      </c>
      <c r="G1216" s="50">
        <v>5.3E-3</v>
      </c>
    </row>
    <row r="1217" spans="1:7" x14ac:dyDescent="0.25">
      <c r="A1217" t="s">
        <v>2347</v>
      </c>
      <c r="B1217">
        <v>52.98</v>
      </c>
      <c r="C1217">
        <v>53.22</v>
      </c>
      <c r="D1217">
        <v>53.36</v>
      </c>
      <c r="E1217">
        <v>52.34</v>
      </c>
      <c r="F1217" t="s">
        <v>1826</v>
      </c>
      <c r="G1217" s="50">
        <v>-1.0500000000000001E-2</v>
      </c>
    </row>
    <row r="1218" spans="1:7" x14ac:dyDescent="0.25">
      <c r="A1218" t="s">
        <v>2348</v>
      </c>
      <c r="B1218">
        <v>53.54</v>
      </c>
      <c r="C1218">
        <v>53.19</v>
      </c>
      <c r="D1218">
        <v>53.62</v>
      </c>
      <c r="E1218">
        <v>52.84</v>
      </c>
      <c r="F1218" t="s">
        <v>265</v>
      </c>
      <c r="G1218" s="50">
        <v>1.9E-3</v>
      </c>
    </row>
    <row r="1219" spans="1:7" x14ac:dyDescent="0.25">
      <c r="A1219" t="s">
        <v>2349</v>
      </c>
      <c r="B1219">
        <v>53.44</v>
      </c>
      <c r="C1219">
        <v>53.05</v>
      </c>
      <c r="D1219">
        <v>53.6</v>
      </c>
      <c r="E1219">
        <v>53</v>
      </c>
      <c r="F1219" t="s">
        <v>265</v>
      </c>
      <c r="G1219" s="50">
        <v>8.3000000000000001E-3</v>
      </c>
    </row>
    <row r="1220" spans="1:7" x14ac:dyDescent="0.25">
      <c r="A1220" t="s">
        <v>2350</v>
      </c>
      <c r="B1220">
        <v>53</v>
      </c>
      <c r="C1220">
        <v>52.95</v>
      </c>
      <c r="D1220">
        <v>53.07</v>
      </c>
      <c r="E1220">
        <v>52.62</v>
      </c>
      <c r="F1220" t="s">
        <v>2012</v>
      </c>
      <c r="G1220" s="50">
        <v>1.6999999999999999E-3</v>
      </c>
    </row>
    <row r="1221" spans="1:7" x14ac:dyDescent="0.25">
      <c r="A1221" t="s">
        <v>2351</v>
      </c>
      <c r="B1221">
        <v>52.91</v>
      </c>
      <c r="C1221">
        <v>52.89</v>
      </c>
      <c r="D1221">
        <v>53.19</v>
      </c>
      <c r="E1221">
        <v>52.77</v>
      </c>
      <c r="F1221" t="s">
        <v>2352</v>
      </c>
      <c r="G1221" s="50">
        <v>-8.9999999999999998E-4</v>
      </c>
    </row>
    <row r="1222" spans="1:7" x14ac:dyDescent="0.25">
      <c r="A1222" t="s">
        <v>2353</v>
      </c>
      <c r="B1222">
        <v>52.96</v>
      </c>
      <c r="C1222">
        <v>53.16</v>
      </c>
      <c r="D1222">
        <v>53.29</v>
      </c>
      <c r="E1222">
        <v>52.92</v>
      </c>
      <c r="F1222" t="s">
        <v>2354</v>
      </c>
      <c r="G1222" s="50">
        <v>-1.9E-3</v>
      </c>
    </row>
    <row r="1223" spans="1:7" x14ac:dyDescent="0.25">
      <c r="A1223" t="s">
        <v>2355</v>
      </c>
      <c r="B1223">
        <v>53.06</v>
      </c>
      <c r="C1223">
        <v>52.77</v>
      </c>
      <c r="D1223">
        <v>53.2</v>
      </c>
      <c r="E1223">
        <v>52.65</v>
      </c>
      <c r="F1223" t="s">
        <v>1693</v>
      </c>
      <c r="G1223" s="50">
        <v>5.3E-3</v>
      </c>
    </row>
    <row r="1224" spans="1:7" x14ac:dyDescent="0.25">
      <c r="A1224" t="s">
        <v>2356</v>
      </c>
      <c r="B1224">
        <v>52.78</v>
      </c>
      <c r="C1224">
        <v>52.94</v>
      </c>
      <c r="D1224">
        <v>53.05</v>
      </c>
      <c r="E1224">
        <v>52.61</v>
      </c>
      <c r="F1224" t="s">
        <v>2357</v>
      </c>
      <c r="G1224" s="50">
        <v>4.0000000000000002E-4</v>
      </c>
    </row>
    <row r="1225" spans="1:7" x14ac:dyDescent="0.25">
      <c r="A1225" t="s">
        <v>2358</v>
      </c>
      <c r="B1225">
        <v>52.76</v>
      </c>
      <c r="C1225">
        <v>53.27</v>
      </c>
      <c r="D1225">
        <v>53.29</v>
      </c>
      <c r="E1225">
        <v>52.59</v>
      </c>
      <c r="F1225" t="s">
        <v>1627</v>
      </c>
      <c r="G1225" s="50">
        <v>-9.4000000000000004E-3</v>
      </c>
    </row>
    <row r="1226" spans="1:7" x14ac:dyDescent="0.25">
      <c r="A1226" t="s">
        <v>2359</v>
      </c>
      <c r="B1226">
        <v>53.26</v>
      </c>
      <c r="C1226">
        <v>53.3</v>
      </c>
      <c r="D1226">
        <v>53.36</v>
      </c>
      <c r="E1226">
        <v>52.81</v>
      </c>
      <c r="F1226" t="s">
        <v>630</v>
      </c>
      <c r="G1226" s="50">
        <v>1.5E-3</v>
      </c>
    </row>
    <row r="1227" spans="1:7" x14ac:dyDescent="0.25">
      <c r="A1227" t="s">
        <v>2360</v>
      </c>
      <c r="B1227">
        <v>53.18</v>
      </c>
      <c r="C1227">
        <v>52.37</v>
      </c>
      <c r="D1227">
        <v>53.41</v>
      </c>
      <c r="E1227">
        <v>52.29</v>
      </c>
      <c r="F1227" t="s">
        <v>963</v>
      </c>
      <c r="G1227" s="50">
        <v>2.1299999999999999E-2</v>
      </c>
    </row>
    <row r="1228" spans="1:7" x14ac:dyDescent="0.25">
      <c r="A1228" t="s">
        <v>2361</v>
      </c>
      <c r="B1228">
        <v>52.07</v>
      </c>
      <c r="C1228">
        <v>52.8</v>
      </c>
      <c r="D1228">
        <v>52.84</v>
      </c>
      <c r="E1228">
        <v>51.88</v>
      </c>
      <c r="F1228" t="s">
        <v>2362</v>
      </c>
      <c r="G1228" s="50">
        <v>-0.02</v>
      </c>
    </row>
    <row r="1229" spans="1:7" x14ac:dyDescent="0.25">
      <c r="A1229" t="s">
        <v>2363</v>
      </c>
      <c r="B1229">
        <v>53.13</v>
      </c>
      <c r="C1229">
        <v>53.41</v>
      </c>
      <c r="D1229">
        <v>53.55</v>
      </c>
      <c r="E1229">
        <v>53.01</v>
      </c>
      <c r="F1229" t="s">
        <v>1078</v>
      </c>
      <c r="G1229" s="50">
        <v>-6.4000000000000003E-3</v>
      </c>
    </row>
    <row r="1230" spans="1:7" x14ac:dyDescent="0.25">
      <c r="A1230" t="s">
        <v>2364</v>
      </c>
      <c r="B1230">
        <v>53.47</v>
      </c>
      <c r="C1230">
        <v>53.85</v>
      </c>
      <c r="D1230">
        <v>53.92</v>
      </c>
      <c r="E1230">
        <v>53.13</v>
      </c>
      <c r="F1230" t="s">
        <v>2365</v>
      </c>
      <c r="G1230" s="50">
        <v>-5.8999999999999999E-3</v>
      </c>
    </row>
    <row r="1231" spans="1:7" x14ac:dyDescent="0.25">
      <c r="A1231" t="s">
        <v>2366</v>
      </c>
      <c r="B1231">
        <v>53.79</v>
      </c>
      <c r="C1231">
        <v>54.23</v>
      </c>
      <c r="D1231">
        <v>54.32</v>
      </c>
      <c r="E1231">
        <v>53.73</v>
      </c>
      <c r="F1231" t="s">
        <v>2367</v>
      </c>
      <c r="G1231" s="50">
        <v>-7.0000000000000001E-3</v>
      </c>
    </row>
    <row r="1232" spans="1:7" x14ac:dyDescent="0.25">
      <c r="A1232" t="s">
        <v>2368</v>
      </c>
      <c r="B1232">
        <v>54.17</v>
      </c>
      <c r="C1232">
        <v>54.39</v>
      </c>
      <c r="D1232">
        <v>54.53</v>
      </c>
      <c r="E1232">
        <v>53.52</v>
      </c>
      <c r="F1232" t="s">
        <v>1166</v>
      </c>
      <c r="G1232" s="50">
        <v>-1.0999999999999999E-2</v>
      </c>
    </row>
    <row r="1233" spans="1:7" x14ac:dyDescent="0.25">
      <c r="A1233" t="s">
        <v>2369</v>
      </c>
      <c r="B1233">
        <v>54.77</v>
      </c>
      <c r="C1233">
        <v>55.19</v>
      </c>
      <c r="D1233">
        <v>55.35</v>
      </c>
      <c r="E1233">
        <v>54.54</v>
      </c>
      <c r="F1233" t="s">
        <v>2370</v>
      </c>
      <c r="G1233" s="50">
        <v>-4.7000000000000002E-3</v>
      </c>
    </row>
    <row r="1234" spans="1:7" x14ac:dyDescent="0.25">
      <c r="A1234" t="s">
        <v>2371</v>
      </c>
      <c r="B1234">
        <v>55.03</v>
      </c>
      <c r="C1234">
        <v>54.43</v>
      </c>
      <c r="D1234">
        <v>55.08</v>
      </c>
      <c r="E1234">
        <v>54.27</v>
      </c>
      <c r="F1234" t="s">
        <v>2372</v>
      </c>
      <c r="G1234" s="50">
        <v>1.8700000000000001E-2</v>
      </c>
    </row>
    <row r="1235" spans="1:7" x14ac:dyDescent="0.25">
      <c r="A1235" t="s">
        <v>2373</v>
      </c>
      <c r="B1235">
        <v>54.02</v>
      </c>
      <c r="C1235">
        <v>54.18</v>
      </c>
      <c r="D1235">
        <v>54.42</v>
      </c>
      <c r="E1235">
        <v>53.94</v>
      </c>
      <c r="F1235" t="s">
        <v>2374</v>
      </c>
      <c r="G1235" s="50">
        <v>-2E-3</v>
      </c>
    </row>
    <row r="1236" spans="1:7" x14ac:dyDescent="0.25">
      <c r="A1236" t="s">
        <v>2375</v>
      </c>
      <c r="B1236">
        <v>54.13</v>
      </c>
      <c r="C1236">
        <v>53.97</v>
      </c>
      <c r="D1236">
        <v>54.39</v>
      </c>
      <c r="E1236">
        <v>53.89</v>
      </c>
      <c r="F1236" t="s">
        <v>2376</v>
      </c>
      <c r="G1236" s="50">
        <v>3.8999999999999998E-3</v>
      </c>
    </row>
    <row r="1237" spans="1:7" x14ac:dyDescent="0.25">
      <c r="A1237" t="s">
        <v>2377</v>
      </c>
      <c r="B1237">
        <v>53.92</v>
      </c>
      <c r="C1237">
        <v>54.32</v>
      </c>
      <c r="D1237">
        <v>54.44</v>
      </c>
      <c r="E1237">
        <v>53.79</v>
      </c>
      <c r="F1237" t="s">
        <v>2378</v>
      </c>
      <c r="G1237" s="50">
        <v>-2.8E-3</v>
      </c>
    </row>
    <row r="1238" spans="1:7" x14ac:dyDescent="0.25">
      <c r="A1238" t="s">
        <v>2379</v>
      </c>
      <c r="B1238">
        <v>54.07</v>
      </c>
      <c r="C1238">
        <v>53.44</v>
      </c>
      <c r="D1238">
        <v>54.17</v>
      </c>
      <c r="E1238">
        <v>53.44</v>
      </c>
      <c r="F1238" t="s">
        <v>2380</v>
      </c>
      <c r="G1238" s="50">
        <v>1.3899999999999999E-2</v>
      </c>
    </row>
    <row r="1239" spans="1:7" x14ac:dyDescent="0.25">
      <c r="A1239" t="s">
        <v>2381</v>
      </c>
      <c r="B1239">
        <v>53.33</v>
      </c>
      <c r="C1239">
        <v>52.8</v>
      </c>
      <c r="D1239">
        <v>53.55</v>
      </c>
      <c r="E1239">
        <v>52.62</v>
      </c>
      <c r="F1239" t="s">
        <v>1236</v>
      </c>
      <c r="G1239" s="50">
        <v>7.0000000000000001E-3</v>
      </c>
    </row>
    <row r="1240" spans="1:7" x14ac:dyDescent="0.25">
      <c r="A1240" t="s">
        <v>2382</v>
      </c>
      <c r="B1240">
        <v>52.96</v>
      </c>
      <c r="C1240">
        <v>52.65</v>
      </c>
      <c r="D1240">
        <v>52.99</v>
      </c>
      <c r="E1240">
        <v>52.4</v>
      </c>
      <c r="F1240" t="s">
        <v>619</v>
      </c>
      <c r="G1240" s="50">
        <v>6.4999999999999997E-3</v>
      </c>
    </row>
    <row r="1241" spans="1:7" x14ac:dyDescent="0.25">
      <c r="A1241" t="s">
        <v>2383</v>
      </c>
      <c r="B1241">
        <v>52.62</v>
      </c>
      <c r="C1241">
        <v>52.96</v>
      </c>
      <c r="D1241">
        <v>53.31</v>
      </c>
      <c r="E1241">
        <v>52.43</v>
      </c>
      <c r="F1241" t="s">
        <v>435</v>
      </c>
      <c r="G1241" s="50">
        <v>-5.3E-3</v>
      </c>
    </row>
    <row r="1242" spans="1:7" x14ac:dyDescent="0.25">
      <c r="A1242" t="s">
        <v>2384</v>
      </c>
      <c r="B1242">
        <v>52.9</v>
      </c>
      <c r="C1242">
        <v>53.18</v>
      </c>
      <c r="D1242">
        <v>53.22</v>
      </c>
      <c r="E1242">
        <v>52.84</v>
      </c>
      <c r="F1242" t="s">
        <v>2374</v>
      </c>
      <c r="G1242" s="50">
        <v>-4.0000000000000002E-4</v>
      </c>
    </row>
    <row r="1243" spans="1:7" x14ac:dyDescent="0.25">
      <c r="A1243" t="s">
        <v>2385</v>
      </c>
      <c r="B1243">
        <v>52.92</v>
      </c>
      <c r="C1243">
        <v>52.93</v>
      </c>
      <c r="D1243">
        <v>53.35</v>
      </c>
      <c r="E1243">
        <v>52.58</v>
      </c>
      <c r="F1243" t="s">
        <v>2386</v>
      </c>
      <c r="G1243" s="50">
        <v>2.0000000000000001E-4</v>
      </c>
    </row>
    <row r="1244" spans="1:7" x14ac:dyDescent="0.25">
      <c r="A1244" t="s">
        <v>2387</v>
      </c>
      <c r="B1244">
        <v>52.91</v>
      </c>
      <c r="C1244">
        <v>53.35</v>
      </c>
      <c r="D1244">
        <v>53.61</v>
      </c>
      <c r="E1244">
        <v>52.82</v>
      </c>
      <c r="F1244" t="s">
        <v>886</v>
      </c>
      <c r="G1244" s="50">
        <v>-7.4999999999999997E-3</v>
      </c>
    </row>
    <row r="1245" spans="1:7" x14ac:dyDescent="0.25">
      <c r="A1245" t="s">
        <v>2388</v>
      </c>
      <c r="B1245">
        <v>53.31</v>
      </c>
      <c r="C1245">
        <v>53.37</v>
      </c>
      <c r="D1245">
        <v>53.58</v>
      </c>
      <c r="E1245">
        <v>53.14</v>
      </c>
      <c r="F1245" t="s">
        <v>2389</v>
      </c>
      <c r="G1245" s="50">
        <v>-1.5E-3</v>
      </c>
    </row>
    <row r="1246" spans="1:7" x14ac:dyDescent="0.25">
      <c r="A1246" t="s">
        <v>2390</v>
      </c>
      <c r="B1246">
        <v>53.39</v>
      </c>
      <c r="C1246">
        <v>52.96</v>
      </c>
      <c r="D1246">
        <v>53.77</v>
      </c>
      <c r="E1246">
        <v>52.79</v>
      </c>
      <c r="F1246" t="s">
        <v>2391</v>
      </c>
      <c r="G1246" s="50">
        <v>1.83E-2</v>
      </c>
    </row>
    <row r="1247" spans="1:7" x14ac:dyDescent="0.25">
      <c r="A1247" t="s">
        <v>2392</v>
      </c>
      <c r="B1247">
        <v>52.43</v>
      </c>
      <c r="C1247">
        <v>52.77</v>
      </c>
      <c r="D1247">
        <v>52.93</v>
      </c>
      <c r="E1247">
        <v>52.24</v>
      </c>
      <c r="F1247" t="s">
        <v>2393</v>
      </c>
      <c r="G1247" s="50">
        <v>-7.9000000000000008E-3</v>
      </c>
    </row>
    <row r="1248" spans="1:7" x14ac:dyDescent="0.25">
      <c r="A1248" t="s">
        <v>2394</v>
      </c>
      <c r="B1248">
        <v>52.85</v>
      </c>
      <c r="C1248">
        <v>50.41</v>
      </c>
      <c r="D1248">
        <v>52.97</v>
      </c>
      <c r="E1248">
        <v>50.1</v>
      </c>
      <c r="F1248" t="s">
        <v>2395</v>
      </c>
      <c r="G1248" s="50">
        <v>7.1999999999999998E-3</v>
      </c>
    </row>
    <row r="1249" spans="1:7" x14ac:dyDescent="0.25">
      <c r="A1249" t="s">
        <v>2396</v>
      </c>
      <c r="B1249">
        <v>52.47</v>
      </c>
      <c r="C1249">
        <v>51.88</v>
      </c>
      <c r="D1249">
        <v>52.66</v>
      </c>
      <c r="E1249">
        <v>51.86</v>
      </c>
      <c r="F1249" t="s">
        <v>2397</v>
      </c>
      <c r="G1249" s="50">
        <v>-8.6999999999999994E-3</v>
      </c>
    </row>
    <row r="1250" spans="1:7" x14ac:dyDescent="0.25">
      <c r="A1250" t="s">
        <v>2398</v>
      </c>
      <c r="B1250">
        <v>52.93</v>
      </c>
      <c r="C1250">
        <v>52.8</v>
      </c>
      <c r="D1250">
        <v>53.34</v>
      </c>
      <c r="E1250">
        <v>52.74</v>
      </c>
      <c r="F1250" t="s">
        <v>1598</v>
      </c>
      <c r="G1250" s="50">
        <v>-2.0000000000000001E-4</v>
      </c>
    </row>
    <row r="1251" spans="1:7" x14ac:dyDescent="0.25">
      <c r="A1251" t="s">
        <v>2399</v>
      </c>
      <c r="B1251">
        <v>52.94</v>
      </c>
      <c r="C1251">
        <v>52.76</v>
      </c>
      <c r="D1251">
        <v>53.15</v>
      </c>
      <c r="E1251">
        <v>52.68</v>
      </c>
      <c r="F1251" t="s">
        <v>1128</v>
      </c>
      <c r="G1251" s="50">
        <v>8.0000000000000004E-4</v>
      </c>
    </row>
    <row r="1252" spans="1:7" x14ac:dyDescent="0.25">
      <c r="A1252" t="s">
        <v>2400</v>
      </c>
      <c r="B1252">
        <v>52.9</v>
      </c>
      <c r="C1252">
        <v>52.93</v>
      </c>
      <c r="D1252">
        <v>53.22</v>
      </c>
      <c r="E1252">
        <v>52.6</v>
      </c>
      <c r="F1252" t="s">
        <v>2401</v>
      </c>
      <c r="G1252" s="50">
        <v>7.7999999999999996E-3</v>
      </c>
    </row>
    <row r="1253" spans="1:7" x14ac:dyDescent="0.25">
      <c r="A1253" t="s">
        <v>2402</v>
      </c>
      <c r="B1253">
        <v>52.49</v>
      </c>
      <c r="C1253">
        <v>52.11</v>
      </c>
      <c r="D1253">
        <v>52.8</v>
      </c>
      <c r="E1253">
        <v>51.88</v>
      </c>
      <c r="F1253" t="s">
        <v>2403</v>
      </c>
      <c r="G1253" s="50">
        <v>1.72E-2</v>
      </c>
    </row>
    <row r="1254" spans="1:7" x14ac:dyDescent="0.25">
      <c r="A1254" t="s">
        <v>2404</v>
      </c>
      <c r="B1254">
        <v>51.6</v>
      </c>
      <c r="C1254">
        <v>52.18</v>
      </c>
      <c r="D1254">
        <v>52.43</v>
      </c>
      <c r="E1254">
        <v>51.47</v>
      </c>
      <c r="F1254" t="s">
        <v>2405</v>
      </c>
      <c r="G1254" s="50">
        <v>-2.3300000000000001E-2</v>
      </c>
    </row>
    <row r="1255" spans="1:7" x14ac:dyDescent="0.25">
      <c r="A1255" t="s">
        <v>2406</v>
      </c>
      <c r="B1255">
        <v>52.83</v>
      </c>
      <c r="C1255">
        <v>53.1</v>
      </c>
      <c r="D1255">
        <v>53.11</v>
      </c>
      <c r="E1255">
        <v>52.11</v>
      </c>
      <c r="F1255" t="s">
        <v>2407</v>
      </c>
      <c r="G1255" s="50">
        <v>-6.1999999999999998E-3</v>
      </c>
    </row>
    <row r="1256" spans="1:7" x14ac:dyDescent="0.25">
      <c r="A1256" t="s">
        <v>2408</v>
      </c>
      <c r="B1256">
        <v>53.16</v>
      </c>
      <c r="C1256">
        <v>53.97</v>
      </c>
      <c r="D1256">
        <v>54.14</v>
      </c>
      <c r="E1256">
        <v>53.16</v>
      </c>
      <c r="F1256" t="s">
        <v>2409</v>
      </c>
      <c r="G1256" s="50">
        <v>-5.1000000000000004E-3</v>
      </c>
    </row>
    <row r="1257" spans="1:7" x14ac:dyDescent="0.25">
      <c r="A1257" t="s">
        <v>2410</v>
      </c>
      <c r="B1257">
        <v>53.43</v>
      </c>
      <c r="C1257">
        <v>52.48</v>
      </c>
      <c r="D1257">
        <v>53.67</v>
      </c>
      <c r="E1257">
        <v>52.22</v>
      </c>
      <c r="F1257" t="s">
        <v>2411</v>
      </c>
      <c r="G1257" s="50">
        <v>1.89E-2</v>
      </c>
    </row>
    <row r="1258" spans="1:7" x14ac:dyDescent="0.25">
      <c r="A1258" t="s">
        <v>2412</v>
      </c>
      <c r="B1258">
        <v>52.44</v>
      </c>
      <c r="C1258">
        <v>51.07</v>
      </c>
      <c r="D1258">
        <v>52.71</v>
      </c>
      <c r="E1258">
        <v>50.95</v>
      </c>
      <c r="F1258" t="s">
        <v>2413</v>
      </c>
      <c r="G1258" s="50">
        <v>2.5600000000000001E-2</v>
      </c>
    </row>
    <row r="1259" spans="1:7" x14ac:dyDescent="0.25">
      <c r="A1259" t="s">
        <v>2414</v>
      </c>
      <c r="B1259">
        <v>51.13</v>
      </c>
      <c r="C1259">
        <v>50.99</v>
      </c>
      <c r="D1259">
        <v>51.25</v>
      </c>
      <c r="E1259">
        <v>50.68</v>
      </c>
      <c r="F1259" t="s">
        <v>305</v>
      </c>
      <c r="G1259" s="50">
        <v>8.3000000000000001E-3</v>
      </c>
    </row>
    <row r="1260" spans="1:7" x14ac:dyDescent="0.25">
      <c r="A1260" t="s">
        <v>2415</v>
      </c>
      <c r="B1260">
        <v>50.71</v>
      </c>
      <c r="C1260">
        <v>51.11</v>
      </c>
      <c r="D1260">
        <v>51.23</v>
      </c>
      <c r="E1260">
        <v>50.3</v>
      </c>
      <c r="F1260" t="s">
        <v>2416</v>
      </c>
      <c r="G1260" s="50">
        <v>-8.9999999999999993E-3</v>
      </c>
    </row>
    <row r="1261" spans="1:7" x14ac:dyDescent="0.25">
      <c r="A1261" t="s">
        <v>2417</v>
      </c>
      <c r="B1261">
        <v>51.17</v>
      </c>
      <c r="C1261">
        <v>51.21</v>
      </c>
      <c r="D1261">
        <v>51.4</v>
      </c>
      <c r="E1261">
        <v>50.81</v>
      </c>
      <c r="F1261" t="s">
        <v>724</v>
      </c>
      <c r="G1261" s="50">
        <v>5.1000000000000004E-3</v>
      </c>
    </row>
    <row r="1262" spans="1:7" x14ac:dyDescent="0.25">
      <c r="A1262" t="s">
        <v>2418</v>
      </c>
      <c r="B1262">
        <v>50.91</v>
      </c>
      <c r="C1262">
        <v>51.22</v>
      </c>
      <c r="D1262">
        <v>51.23</v>
      </c>
      <c r="E1262">
        <v>50.41</v>
      </c>
      <c r="F1262" t="s">
        <v>2335</v>
      </c>
      <c r="G1262" s="50">
        <v>-1.0699999999999999E-2</v>
      </c>
    </row>
    <row r="1263" spans="1:7" x14ac:dyDescent="0.25">
      <c r="A1263" t="s">
        <v>2419</v>
      </c>
      <c r="B1263">
        <v>51.46</v>
      </c>
      <c r="C1263">
        <v>51.18</v>
      </c>
      <c r="D1263">
        <v>51.6</v>
      </c>
      <c r="E1263">
        <v>50.98</v>
      </c>
      <c r="F1263" t="s">
        <v>1445</v>
      </c>
      <c r="G1263" s="50">
        <v>6.7999999999999996E-3</v>
      </c>
    </row>
    <row r="1264" spans="1:7" x14ac:dyDescent="0.25">
      <c r="A1264" t="s">
        <v>2420</v>
      </c>
      <c r="B1264">
        <v>51.11</v>
      </c>
      <c r="C1264">
        <v>51.56</v>
      </c>
      <c r="D1264">
        <v>51.77</v>
      </c>
      <c r="E1264">
        <v>50.92</v>
      </c>
      <c r="F1264" t="s">
        <v>1772</v>
      </c>
      <c r="G1264" s="50">
        <v>-5.1000000000000004E-3</v>
      </c>
    </row>
    <row r="1265" spans="1:7" x14ac:dyDescent="0.25">
      <c r="A1265" t="s">
        <v>2421</v>
      </c>
      <c r="B1265">
        <v>51.37</v>
      </c>
      <c r="C1265">
        <v>51.58</v>
      </c>
      <c r="D1265">
        <v>51.67</v>
      </c>
      <c r="E1265">
        <v>51.35</v>
      </c>
      <c r="F1265" t="s">
        <v>1631</v>
      </c>
      <c r="G1265" s="50">
        <v>-5.1999999999999998E-3</v>
      </c>
    </row>
    <row r="1266" spans="1:7" x14ac:dyDescent="0.25">
      <c r="A1266" t="s">
        <v>2422</v>
      </c>
      <c r="B1266">
        <v>51.64</v>
      </c>
      <c r="C1266">
        <v>51.65</v>
      </c>
      <c r="D1266">
        <v>51.77</v>
      </c>
      <c r="E1266">
        <v>51.5</v>
      </c>
      <c r="F1266" t="s">
        <v>1770</v>
      </c>
      <c r="G1266" s="50">
        <v>-5.1999999999999998E-3</v>
      </c>
    </row>
    <row r="1267" spans="1:7" x14ac:dyDescent="0.25">
      <c r="A1267" t="s">
        <v>2423</v>
      </c>
      <c r="B1267">
        <v>51.91</v>
      </c>
      <c r="C1267">
        <v>51.5</v>
      </c>
      <c r="D1267">
        <v>52.13</v>
      </c>
      <c r="E1267">
        <v>51.18</v>
      </c>
      <c r="F1267" t="s">
        <v>370</v>
      </c>
      <c r="G1267" s="50">
        <v>8.0000000000000002E-3</v>
      </c>
    </row>
    <row r="1268" spans="1:7" x14ac:dyDescent="0.25">
      <c r="A1268" t="s">
        <v>2424</v>
      </c>
      <c r="B1268">
        <v>51.5</v>
      </c>
      <c r="C1268">
        <v>51.81</v>
      </c>
      <c r="D1268">
        <v>52.09</v>
      </c>
      <c r="E1268">
        <v>51.38</v>
      </c>
      <c r="F1268" t="s">
        <v>2425</v>
      </c>
      <c r="G1268" s="50">
        <v>-8.3000000000000001E-3</v>
      </c>
    </row>
    <row r="1269" spans="1:7" x14ac:dyDescent="0.25">
      <c r="A1269" t="s">
        <v>2426</v>
      </c>
      <c r="B1269">
        <v>51.93</v>
      </c>
      <c r="C1269">
        <v>51.84</v>
      </c>
      <c r="D1269">
        <v>52.07</v>
      </c>
      <c r="E1269">
        <v>51.48</v>
      </c>
      <c r="F1269" t="s">
        <v>370</v>
      </c>
      <c r="G1269" s="50">
        <v>2.7000000000000001E-3</v>
      </c>
    </row>
    <row r="1270" spans="1:7" x14ac:dyDescent="0.25">
      <c r="A1270" t="s">
        <v>2427</v>
      </c>
      <c r="B1270">
        <v>51.79</v>
      </c>
      <c r="C1270">
        <v>52.59</v>
      </c>
      <c r="D1270">
        <v>52.79</v>
      </c>
      <c r="E1270">
        <v>51.59</v>
      </c>
      <c r="F1270" t="s">
        <v>2428</v>
      </c>
      <c r="G1270" s="50">
        <v>-2.01E-2</v>
      </c>
    </row>
    <row r="1271" spans="1:7" x14ac:dyDescent="0.25">
      <c r="A1271" t="s">
        <v>2429</v>
      </c>
      <c r="B1271">
        <v>52.85</v>
      </c>
      <c r="C1271">
        <v>52.52</v>
      </c>
      <c r="D1271">
        <v>52.96</v>
      </c>
      <c r="E1271">
        <v>52.49</v>
      </c>
      <c r="F1271" t="s">
        <v>1998</v>
      </c>
      <c r="G1271" s="50">
        <v>8.9999999999999998E-4</v>
      </c>
    </row>
    <row r="1272" spans="1:7" x14ac:dyDescent="0.25">
      <c r="A1272" t="s">
        <v>2430</v>
      </c>
      <c r="B1272">
        <v>52.8</v>
      </c>
      <c r="C1272">
        <v>52.45</v>
      </c>
      <c r="D1272">
        <v>53.18</v>
      </c>
      <c r="E1272">
        <v>52.26</v>
      </c>
      <c r="F1272" t="s">
        <v>2431</v>
      </c>
      <c r="G1272" s="50">
        <v>2.2499999999999999E-2</v>
      </c>
    </row>
    <row r="1273" spans="1:7" x14ac:dyDescent="0.25">
      <c r="A1273" t="s">
        <v>2432</v>
      </c>
      <c r="B1273">
        <v>51.64</v>
      </c>
      <c r="C1273">
        <v>51.76</v>
      </c>
      <c r="D1273">
        <v>51.94</v>
      </c>
      <c r="E1273">
        <v>51.37</v>
      </c>
      <c r="F1273" t="s">
        <v>1431</v>
      </c>
      <c r="G1273" s="50">
        <v>5.3E-3</v>
      </c>
    </row>
    <row r="1274" spans="1:7" x14ac:dyDescent="0.25">
      <c r="A1274" t="s">
        <v>2433</v>
      </c>
      <c r="B1274">
        <v>51.37</v>
      </c>
      <c r="C1274">
        <v>51.51</v>
      </c>
      <c r="D1274">
        <v>51.68</v>
      </c>
      <c r="E1274">
        <v>51.14</v>
      </c>
      <c r="F1274" t="s">
        <v>1203</v>
      </c>
      <c r="G1274" s="50">
        <v>-5.5999999999999999E-3</v>
      </c>
    </row>
    <row r="1275" spans="1:7" x14ac:dyDescent="0.25">
      <c r="A1275" t="s">
        <v>2434</v>
      </c>
      <c r="B1275">
        <v>51.66</v>
      </c>
      <c r="C1275">
        <v>51.64</v>
      </c>
      <c r="D1275">
        <v>51.88</v>
      </c>
      <c r="E1275">
        <v>51.34</v>
      </c>
      <c r="F1275" t="s">
        <v>2435</v>
      </c>
      <c r="G1275" s="50">
        <v>1.6999999999999999E-3</v>
      </c>
    </row>
    <row r="1276" spans="1:7" x14ac:dyDescent="0.25">
      <c r="A1276" t="s">
        <v>2436</v>
      </c>
      <c r="B1276">
        <v>51.57</v>
      </c>
      <c r="C1276">
        <v>52.07</v>
      </c>
      <c r="D1276">
        <v>52.16</v>
      </c>
      <c r="E1276">
        <v>51.47</v>
      </c>
      <c r="F1276" t="s">
        <v>1041</v>
      </c>
      <c r="G1276" s="50">
        <v>-0.01</v>
      </c>
    </row>
    <row r="1277" spans="1:7" x14ac:dyDescent="0.25">
      <c r="A1277" t="s">
        <v>2437</v>
      </c>
      <c r="B1277">
        <v>52.09</v>
      </c>
      <c r="C1277">
        <v>51.83</v>
      </c>
      <c r="D1277">
        <v>52.15</v>
      </c>
      <c r="E1277">
        <v>51.67</v>
      </c>
      <c r="F1277" t="s">
        <v>1255</v>
      </c>
      <c r="G1277" s="50">
        <v>3.5000000000000001E-3</v>
      </c>
    </row>
    <row r="1278" spans="1:7" x14ac:dyDescent="0.25">
      <c r="A1278" t="s">
        <v>2438</v>
      </c>
      <c r="B1278">
        <v>51.91</v>
      </c>
      <c r="C1278">
        <v>51.94</v>
      </c>
      <c r="D1278">
        <v>52</v>
      </c>
      <c r="E1278">
        <v>51.45</v>
      </c>
      <c r="F1278" t="s">
        <v>1012</v>
      </c>
      <c r="G1278" s="50">
        <v>2.7000000000000001E-3</v>
      </c>
    </row>
    <row r="1279" spans="1:7" x14ac:dyDescent="0.25">
      <c r="A1279" t="s">
        <v>2439</v>
      </c>
      <c r="B1279">
        <v>51.77</v>
      </c>
      <c r="C1279">
        <v>52.01</v>
      </c>
      <c r="D1279">
        <v>52.14</v>
      </c>
      <c r="E1279">
        <v>51.58</v>
      </c>
      <c r="F1279" t="s">
        <v>2440</v>
      </c>
      <c r="G1279" s="50">
        <v>-4.7999999999999996E-3</v>
      </c>
    </row>
    <row r="1280" spans="1:7" x14ac:dyDescent="0.25">
      <c r="A1280" t="s">
        <v>2441</v>
      </c>
      <c r="B1280">
        <v>52.02</v>
      </c>
      <c r="C1280">
        <v>51.98</v>
      </c>
      <c r="D1280">
        <v>52.22</v>
      </c>
      <c r="E1280">
        <v>51.78</v>
      </c>
      <c r="F1280" t="s">
        <v>1166</v>
      </c>
      <c r="G1280" s="50">
        <v>-7.4000000000000003E-3</v>
      </c>
    </row>
    <row r="1281" spans="1:7" x14ac:dyDescent="0.25">
      <c r="A1281" t="s">
        <v>2442</v>
      </c>
      <c r="B1281">
        <v>52.41</v>
      </c>
      <c r="C1281">
        <v>51.63</v>
      </c>
      <c r="D1281">
        <v>52.92</v>
      </c>
      <c r="E1281">
        <v>51.63</v>
      </c>
      <c r="F1281" t="s">
        <v>2443</v>
      </c>
      <c r="G1281" s="50">
        <v>8.3000000000000001E-3</v>
      </c>
    </row>
    <row r="1282" spans="1:7" x14ac:dyDescent="0.25">
      <c r="A1282" t="s">
        <v>2444</v>
      </c>
      <c r="B1282">
        <v>51.98</v>
      </c>
      <c r="C1282">
        <v>51.75</v>
      </c>
      <c r="D1282">
        <v>52.07</v>
      </c>
      <c r="E1282">
        <v>51.35</v>
      </c>
      <c r="F1282" t="s">
        <v>1800</v>
      </c>
      <c r="G1282" s="50">
        <v>5.1999999999999998E-3</v>
      </c>
    </row>
    <row r="1283" spans="1:7" x14ac:dyDescent="0.25">
      <c r="A1283" t="s">
        <v>2445</v>
      </c>
      <c r="B1283">
        <v>51.71</v>
      </c>
      <c r="C1283">
        <v>51.83</v>
      </c>
      <c r="D1283">
        <v>52.05</v>
      </c>
      <c r="E1283">
        <v>51.55</v>
      </c>
      <c r="F1283" t="s">
        <v>1209</v>
      </c>
      <c r="G1283" s="50">
        <v>-1.1999999999999999E-3</v>
      </c>
    </row>
    <row r="1284" spans="1:7" x14ac:dyDescent="0.25">
      <c r="A1284" t="s">
        <v>2446</v>
      </c>
      <c r="B1284">
        <v>51.77</v>
      </c>
      <c r="C1284">
        <v>52.11</v>
      </c>
      <c r="D1284">
        <v>52.29</v>
      </c>
      <c r="E1284">
        <v>51.17</v>
      </c>
      <c r="F1284" t="s">
        <v>2447</v>
      </c>
      <c r="G1284" s="50">
        <v>-1.43E-2</v>
      </c>
    </row>
    <row r="1285" spans="1:7" x14ac:dyDescent="0.25">
      <c r="A1285" t="s">
        <v>2448</v>
      </c>
      <c r="B1285">
        <v>52.52</v>
      </c>
      <c r="C1285">
        <v>52.4</v>
      </c>
      <c r="D1285">
        <v>52.94</v>
      </c>
      <c r="E1285">
        <v>52.28</v>
      </c>
      <c r="F1285" t="s">
        <v>2449</v>
      </c>
      <c r="G1285" s="50">
        <v>-1E-3</v>
      </c>
    </row>
    <row r="1286" spans="1:7" x14ac:dyDescent="0.25">
      <c r="A1286" t="s">
        <v>2450</v>
      </c>
      <c r="B1286">
        <v>52.57</v>
      </c>
      <c r="C1286">
        <v>50.6</v>
      </c>
      <c r="D1286">
        <v>52.64</v>
      </c>
      <c r="E1286">
        <v>50.56</v>
      </c>
      <c r="F1286" t="s">
        <v>2451</v>
      </c>
      <c r="G1286" s="50">
        <v>4.0800000000000003E-2</v>
      </c>
    </row>
    <row r="1287" spans="1:7" x14ac:dyDescent="0.25">
      <c r="A1287" t="s">
        <v>2452</v>
      </c>
      <c r="B1287">
        <v>50.51</v>
      </c>
      <c r="C1287">
        <v>50.58</v>
      </c>
      <c r="D1287">
        <v>51.4</v>
      </c>
      <c r="E1287">
        <v>50.28</v>
      </c>
      <c r="F1287" t="s">
        <v>2453</v>
      </c>
      <c r="G1287" s="50">
        <v>1.7299999999999999E-2</v>
      </c>
    </row>
    <row r="1288" spans="1:7" x14ac:dyDescent="0.25">
      <c r="A1288" t="s">
        <v>2454</v>
      </c>
      <c r="B1288">
        <v>49.65</v>
      </c>
      <c r="C1288">
        <v>49.94</v>
      </c>
      <c r="D1288">
        <v>50.45</v>
      </c>
      <c r="E1288">
        <v>49.62</v>
      </c>
      <c r="F1288" t="s">
        <v>2455</v>
      </c>
      <c r="G1288" s="50">
        <v>-7.1999999999999998E-3</v>
      </c>
    </row>
    <row r="1289" spans="1:7" x14ac:dyDescent="0.25">
      <c r="A1289" t="s">
        <v>2456</v>
      </c>
      <c r="B1289">
        <v>50.01</v>
      </c>
      <c r="C1289">
        <v>50.02</v>
      </c>
      <c r="D1289">
        <v>50.68</v>
      </c>
      <c r="E1289">
        <v>49.9</v>
      </c>
      <c r="F1289" t="s">
        <v>2431</v>
      </c>
      <c r="G1289" s="50">
        <v>-5.7999999999999996E-3</v>
      </c>
    </row>
    <row r="1290" spans="1:7" x14ac:dyDescent="0.25">
      <c r="A1290" t="s">
        <v>2457</v>
      </c>
      <c r="B1290">
        <v>50.3</v>
      </c>
      <c r="C1290">
        <v>48.94</v>
      </c>
      <c r="D1290">
        <v>50.38</v>
      </c>
      <c r="E1290">
        <v>48.94</v>
      </c>
      <c r="F1290" t="s">
        <v>2458</v>
      </c>
      <c r="G1290" s="50">
        <v>2.69E-2</v>
      </c>
    </row>
    <row r="1291" spans="1:7" x14ac:dyDescent="0.25">
      <c r="A1291" t="s">
        <v>2459</v>
      </c>
      <c r="B1291">
        <v>48.98</v>
      </c>
      <c r="C1291">
        <v>48.71</v>
      </c>
      <c r="D1291">
        <v>49.22</v>
      </c>
      <c r="E1291">
        <v>48.32</v>
      </c>
      <c r="F1291" t="s">
        <v>2460</v>
      </c>
      <c r="G1291" s="50">
        <v>3.7000000000000002E-3</v>
      </c>
    </row>
    <row r="1292" spans="1:7" x14ac:dyDescent="0.25">
      <c r="A1292" t="s">
        <v>2461</v>
      </c>
      <c r="B1292">
        <v>48.8</v>
      </c>
      <c r="C1292">
        <v>48.52</v>
      </c>
      <c r="D1292">
        <v>49.57</v>
      </c>
      <c r="E1292">
        <v>48.52</v>
      </c>
      <c r="F1292" t="s">
        <v>1968</v>
      </c>
      <c r="G1292" s="50">
        <v>-1.2500000000000001E-2</v>
      </c>
    </row>
    <row r="1293" spans="1:7" x14ac:dyDescent="0.25">
      <c r="A1293" t="s">
        <v>2462</v>
      </c>
      <c r="B1293">
        <v>49.42</v>
      </c>
      <c r="C1293">
        <v>49.61</v>
      </c>
      <c r="D1293">
        <v>49.61</v>
      </c>
      <c r="E1293">
        <v>48.89</v>
      </c>
      <c r="F1293" t="s">
        <v>1372</v>
      </c>
      <c r="G1293" s="50">
        <v>-5.0000000000000001E-3</v>
      </c>
    </row>
    <row r="1294" spans="1:7" x14ac:dyDescent="0.25">
      <c r="A1294" t="s">
        <v>2463</v>
      </c>
      <c r="B1294">
        <v>49.67</v>
      </c>
      <c r="C1294">
        <v>49.19</v>
      </c>
      <c r="D1294">
        <v>49.74</v>
      </c>
      <c r="E1294">
        <v>49.19</v>
      </c>
      <c r="F1294" t="s">
        <v>1824</v>
      </c>
      <c r="G1294" s="50">
        <v>5.3E-3</v>
      </c>
    </row>
    <row r="1295" spans="1:7" x14ac:dyDescent="0.25">
      <c r="A1295" t="s">
        <v>2464</v>
      </c>
      <c r="B1295">
        <v>49.41</v>
      </c>
      <c r="C1295">
        <v>48.9</v>
      </c>
      <c r="D1295">
        <v>49.44</v>
      </c>
      <c r="E1295">
        <v>48.9</v>
      </c>
      <c r="F1295" t="s">
        <v>447</v>
      </c>
      <c r="G1295" s="50">
        <v>1.21E-2</v>
      </c>
    </row>
    <row r="1296" spans="1:7" x14ac:dyDescent="0.25">
      <c r="A1296" t="s">
        <v>2465</v>
      </c>
      <c r="B1296">
        <v>48.82</v>
      </c>
      <c r="C1296">
        <v>48.81</v>
      </c>
      <c r="D1296">
        <v>48.99</v>
      </c>
      <c r="E1296">
        <v>48.47</v>
      </c>
      <c r="F1296" t="s">
        <v>1616</v>
      </c>
      <c r="G1296" s="50">
        <v>4.0000000000000002E-4</v>
      </c>
    </row>
    <row r="1297" spans="1:7" x14ac:dyDescent="0.25">
      <c r="A1297" t="s">
        <v>2466</v>
      </c>
      <c r="B1297">
        <v>48.8</v>
      </c>
      <c r="C1297">
        <v>48.51</v>
      </c>
      <c r="D1297">
        <v>49.08</v>
      </c>
      <c r="E1297">
        <v>48.23</v>
      </c>
      <c r="F1297" t="s">
        <v>2467</v>
      </c>
      <c r="G1297" s="50">
        <v>1.06E-2</v>
      </c>
    </row>
    <row r="1298" spans="1:7" x14ac:dyDescent="0.25">
      <c r="A1298" t="s">
        <v>2468</v>
      </c>
      <c r="B1298">
        <v>48.29</v>
      </c>
      <c r="C1298">
        <v>48.47</v>
      </c>
      <c r="D1298">
        <v>48.79</v>
      </c>
      <c r="E1298">
        <v>48.19</v>
      </c>
      <c r="F1298" t="s">
        <v>2469</v>
      </c>
      <c r="G1298" s="50">
        <v>8.3999999999999995E-3</v>
      </c>
    </row>
    <row r="1299" spans="1:7" x14ac:dyDescent="0.25">
      <c r="A1299" t="s">
        <v>2470</v>
      </c>
      <c r="B1299">
        <v>47.89</v>
      </c>
      <c r="C1299">
        <v>47.82</v>
      </c>
      <c r="D1299">
        <v>48.37</v>
      </c>
      <c r="E1299">
        <v>47.72</v>
      </c>
      <c r="F1299" t="s">
        <v>2471</v>
      </c>
      <c r="G1299" s="50">
        <v>8.0000000000000002E-3</v>
      </c>
    </row>
    <row r="1300" spans="1:7" x14ac:dyDescent="0.25">
      <c r="A1300" t="s">
        <v>2472</v>
      </c>
      <c r="B1300">
        <v>47.51</v>
      </c>
      <c r="C1300">
        <v>46.24</v>
      </c>
      <c r="D1300">
        <v>48.4</v>
      </c>
      <c r="E1300">
        <v>46.2</v>
      </c>
      <c r="F1300" t="s">
        <v>2473</v>
      </c>
      <c r="G1300" s="50">
        <v>2.7199999999999998E-2</v>
      </c>
    </row>
    <row r="1301" spans="1:7" x14ac:dyDescent="0.25">
      <c r="A1301" t="s">
        <v>2474</v>
      </c>
      <c r="B1301">
        <v>46.25</v>
      </c>
      <c r="C1301">
        <v>45.45</v>
      </c>
      <c r="D1301">
        <v>46.74</v>
      </c>
      <c r="E1301">
        <v>45.27</v>
      </c>
      <c r="F1301" t="s">
        <v>2475</v>
      </c>
      <c r="G1301" s="50">
        <v>3.7900000000000003E-2</v>
      </c>
    </row>
    <row r="1302" spans="1:7" x14ac:dyDescent="0.25">
      <c r="A1302" t="s">
        <v>2476</v>
      </c>
      <c r="B1302">
        <v>44.56</v>
      </c>
      <c r="C1302">
        <v>45.13</v>
      </c>
      <c r="D1302">
        <v>45.47</v>
      </c>
      <c r="E1302">
        <v>44.15</v>
      </c>
      <c r="F1302" t="s">
        <v>2477</v>
      </c>
      <c r="G1302" s="50">
        <v>-1.26E-2</v>
      </c>
    </row>
    <row r="1303" spans="1:7" x14ac:dyDescent="0.25">
      <c r="A1303" t="s">
        <v>2478</v>
      </c>
      <c r="B1303">
        <v>45.13</v>
      </c>
      <c r="C1303">
        <v>45.43</v>
      </c>
      <c r="D1303">
        <v>45.53</v>
      </c>
      <c r="E1303">
        <v>45</v>
      </c>
      <c r="F1303" t="s">
        <v>1929</v>
      </c>
      <c r="G1303" s="50">
        <v>-8.6E-3</v>
      </c>
    </row>
    <row r="1304" spans="1:7" x14ac:dyDescent="0.25">
      <c r="A1304" t="s">
        <v>2479</v>
      </c>
      <c r="B1304">
        <v>45.52</v>
      </c>
      <c r="C1304">
        <v>45.93</v>
      </c>
      <c r="D1304">
        <v>46.08</v>
      </c>
      <c r="E1304">
        <v>45.41</v>
      </c>
      <c r="F1304" t="s">
        <v>1183</v>
      </c>
      <c r="G1304" s="50">
        <v>-8.6999999999999994E-3</v>
      </c>
    </row>
    <row r="1305" spans="1:7" x14ac:dyDescent="0.25">
      <c r="A1305" t="s">
        <v>2480</v>
      </c>
      <c r="B1305">
        <v>45.92</v>
      </c>
      <c r="C1305">
        <v>45.22</v>
      </c>
      <c r="D1305">
        <v>46.22</v>
      </c>
      <c r="E1305">
        <v>45.22</v>
      </c>
      <c r="F1305" t="s">
        <v>1688</v>
      </c>
      <c r="G1305" s="50">
        <v>2.3400000000000001E-2</v>
      </c>
    </row>
    <row r="1306" spans="1:7" x14ac:dyDescent="0.25">
      <c r="A1306" t="s">
        <v>2481</v>
      </c>
      <c r="B1306">
        <v>44.87</v>
      </c>
      <c r="C1306">
        <v>45.58</v>
      </c>
      <c r="D1306">
        <v>45.78</v>
      </c>
      <c r="E1306">
        <v>44.76</v>
      </c>
      <c r="F1306" t="s">
        <v>2482</v>
      </c>
      <c r="G1306" s="50">
        <v>-1.43E-2</v>
      </c>
    </row>
    <row r="1307" spans="1:7" x14ac:dyDescent="0.25">
      <c r="A1307" t="s">
        <v>2483</v>
      </c>
      <c r="B1307">
        <v>45.52</v>
      </c>
      <c r="C1307">
        <v>45.59</v>
      </c>
      <c r="D1307">
        <v>46.24</v>
      </c>
      <c r="E1307">
        <v>45.24</v>
      </c>
      <c r="F1307" t="s">
        <v>2484</v>
      </c>
      <c r="G1307" s="50">
        <v>-4.7999999999999996E-3</v>
      </c>
    </row>
    <row r="1308" spans="1:7" x14ac:dyDescent="0.25">
      <c r="A1308" t="s">
        <v>2485</v>
      </c>
      <c r="B1308">
        <v>45.74</v>
      </c>
      <c r="C1308">
        <v>45.24</v>
      </c>
      <c r="D1308">
        <v>45.8</v>
      </c>
      <c r="E1308">
        <v>45.03</v>
      </c>
      <c r="F1308" t="s">
        <v>1560</v>
      </c>
      <c r="G1308" s="50">
        <v>5.1000000000000004E-3</v>
      </c>
    </row>
    <row r="1309" spans="1:7" x14ac:dyDescent="0.25">
      <c r="A1309" t="s">
        <v>2486</v>
      </c>
      <c r="B1309">
        <v>45.51</v>
      </c>
      <c r="C1309">
        <v>45.26</v>
      </c>
      <c r="D1309">
        <v>45.78</v>
      </c>
      <c r="E1309">
        <v>45.1</v>
      </c>
      <c r="F1309" t="s">
        <v>2487</v>
      </c>
      <c r="G1309" s="50">
        <v>1.8E-3</v>
      </c>
    </row>
    <row r="1310" spans="1:7" x14ac:dyDescent="0.25">
      <c r="A1310" t="s">
        <v>2488</v>
      </c>
      <c r="B1310">
        <v>45.43</v>
      </c>
      <c r="C1310">
        <v>45.29</v>
      </c>
      <c r="D1310">
        <v>45.68</v>
      </c>
      <c r="E1310">
        <v>44.82</v>
      </c>
      <c r="F1310" t="s">
        <v>2489</v>
      </c>
      <c r="G1310" s="50">
        <v>-5.4999999999999997E-3</v>
      </c>
    </row>
    <row r="1311" spans="1:7" x14ac:dyDescent="0.25">
      <c r="A1311" t="s">
        <v>2490</v>
      </c>
      <c r="B1311">
        <v>45.68</v>
      </c>
      <c r="C1311">
        <v>46.54</v>
      </c>
      <c r="D1311">
        <v>46.61</v>
      </c>
      <c r="E1311">
        <v>45.58</v>
      </c>
      <c r="F1311" t="s">
        <v>2491</v>
      </c>
      <c r="G1311" s="50">
        <v>-1.4200000000000001E-2</v>
      </c>
    </row>
    <row r="1312" spans="1:7" x14ac:dyDescent="0.25">
      <c r="A1312" t="s">
        <v>2492</v>
      </c>
      <c r="B1312">
        <v>46.34</v>
      </c>
      <c r="C1312">
        <v>46.39</v>
      </c>
      <c r="D1312">
        <v>46.4</v>
      </c>
      <c r="E1312">
        <v>45.69</v>
      </c>
      <c r="F1312" t="s">
        <v>907</v>
      </c>
      <c r="G1312" s="50">
        <v>1.9E-3</v>
      </c>
    </row>
    <row r="1313" spans="1:7" x14ac:dyDescent="0.25">
      <c r="A1313" t="s">
        <v>2493</v>
      </c>
      <c r="B1313">
        <v>46.25</v>
      </c>
      <c r="C1313">
        <v>46.31</v>
      </c>
      <c r="D1313">
        <v>46.4</v>
      </c>
      <c r="E1313">
        <v>45.87</v>
      </c>
      <c r="F1313" t="s">
        <v>2494</v>
      </c>
      <c r="G1313" s="50">
        <v>-5.5999999999999999E-3</v>
      </c>
    </row>
    <row r="1314" spans="1:7" x14ac:dyDescent="0.25">
      <c r="A1314" t="s">
        <v>2495</v>
      </c>
      <c r="B1314">
        <v>46.51</v>
      </c>
      <c r="C1314">
        <v>47.26</v>
      </c>
      <c r="D1314">
        <v>47.26</v>
      </c>
      <c r="E1314">
        <v>46.4</v>
      </c>
      <c r="F1314" t="s">
        <v>326</v>
      </c>
      <c r="G1314" s="50">
        <v>-1.6500000000000001E-2</v>
      </c>
    </row>
    <row r="1315" spans="1:7" x14ac:dyDescent="0.25">
      <c r="A1315" t="s">
        <v>2496</v>
      </c>
      <c r="B1315">
        <v>47.29</v>
      </c>
      <c r="C1315">
        <v>47.42</v>
      </c>
      <c r="D1315">
        <v>47.69</v>
      </c>
      <c r="E1315">
        <v>46.91</v>
      </c>
      <c r="F1315" t="s">
        <v>2497</v>
      </c>
      <c r="G1315" s="50">
        <v>-6.1000000000000004E-3</v>
      </c>
    </row>
    <row r="1316" spans="1:7" x14ac:dyDescent="0.25">
      <c r="A1316" t="s">
        <v>2498</v>
      </c>
      <c r="B1316">
        <v>47.58</v>
      </c>
      <c r="C1316">
        <v>47.35</v>
      </c>
      <c r="D1316">
        <v>47.91</v>
      </c>
      <c r="E1316">
        <v>47.2</v>
      </c>
      <c r="F1316" t="s">
        <v>706</v>
      </c>
      <c r="G1316" s="50">
        <v>7.1999999999999998E-3</v>
      </c>
    </row>
    <row r="1317" spans="1:7" x14ac:dyDescent="0.25">
      <c r="A1317" t="s">
        <v>2499</v>
      </c>
      <c r="B1317">
        <v>47.24</v>
      </c>
      <c r="C1317">
        <v>46.15</v>
      </c>
      <c r="D1317">
        <v>47.41</v>
      </c>
      <c r="E1317">
        <v>45.83</v>
      </c>
      <c r="F1317" t="s">
        <v>2500</v>
      </c>
      <c r="G1317" s="50">
        <v>-2.5999999999999999E-2</v>
      </c>
    </row>
    <row r="1318" spans="1:7" x14ac:dyDescent="0.25">
      <c r="A1318" t="s">
        <v>2501</v>
      </c>
      <c r="B1318">
        <v>48.5</v>
      </c>
      <c r="C1318">
        <v>48.77</v>
      </c>
      <c r="D1318">
        <v>48.83</v>
      </c>
      <c r="E1318">
        <v>48.41</v>
      </c>
      <c r="F1318" t="s">
        <v>2502</v>
      </c>
      <c r="G1318" s="50">
        <v>-8.9999999999999993E-3</v>
      </c>
    </row>
    <row r="1319" spans="1:7" x14ac:dyDescent="0.25">
      <c r="A1319" t="s">
        <v>2503</v>
      </c>
      <c r="B1319">
        <v>48.94</v>
      </c>
      <c r="C1319">
        <v>48.56</v>
      </c>
      <c r="D1319">
        <v>49.34</v>
      </c>
      <c r="E1319">
        <v>48.56</v>
      </c>
      <c r="F1319" t="s">
        <v>2504</v>
      </c>
      <c r="G1319" s="50">
        <v>1.7899999999999999E-2</v>
      </c>
    </row>
    <row r="1320" spans="1:7" x14ac:dyDescent="0.25">
      <c r="A1320" t="s">
        <v>2505</v>
      </c>
      <c r="B1320">
        <v>48.08</v>
      </c>
      <c r="C1320">
        <v>47.57</v>
      </c>
      <c r="D1320">
        <v>48.34</v>
      </c>
      <c r="E1320">
        <v>47.5</v>
      </c>
      <c r="F1320" t="s">
        <v>2506</v>
      </c>
      <c r="G1320" s="50">
        <v>1.7600000000000001E-2</v>
      </c>
    </row>
    <row r="1321" spans="1:7" x14ac:dyDescent="0.25">
      <c r="A1321" t="s">
        <v>2507</v>
      </c>
      <c r="B1321">
        <v>47.25</v>
      </c>
      <c r="C1321">
        <v>45.87</v>
      </c>
      <c r="D1321">
        <v>47.32</v>
      </c>
      <c r="E1321">
        <v>45.77</v>
      </c>
      <c r="F1321" t="s">
        <v>2508</v>
      </c>
      <c r="G1321" s="50">
        <v>3.2300000000000002E-2</v>
      </c>
    </row>
    <row r="1322" spans="1:7" x14ac:dyDescent="0.25">
      <c r="A1322" t="s">
        <v>2509</v>
      </c>
      <c r="B1322">
        <v>45.77</v>
      </c>
      <c r="C1322">
        <v>45.75</v>
      </c>
      <c r="D1322">
        <v>46.16</v>
      </c>
      <c r="E1322">
        <v>45.54</v>
      </c>
      <c r="F1322" t="s">
        <v>2510</v>
      </c>
      <c r="G1322" s="50">
        <v>-1.2999999999999999E-3</v>
      </c>
    </row>
    <row r="1323" spans="1:7" x14ac:dyDescent="0.25">
      <c r="A1323" t="s">
        <v>2511</v>
      </c>
      <c r="B1323">
        <v>45.83</v>
      </c>
      <c r="C1323">
        <v>45.52</v>
      </c>
      <c r="D1323">
        <v>45.94</v>
      </c>
      <c r="E1323">
        <v>45.43</v>
      </c>
      <c r="F1323" t="s">
        <v>902</v>
      </c>
      <c r="G1323" s="50">
        <v>9.4999999999999998E-3</v>
      </c>
    </row>
    <row r="1324" spans="1:7" x14ac:dyDescent="0.25">
      <c r="A1324" t="s">
        <v>2512</v>
      </c>
      <c r="B1324">
        <v>45.4</v>
      </c>
      <c r="C1324">
        <v>44.92</v>
      </c>
      <c r="D1324">
        <v>45.62</v>
      </c>
      <c r="E1324">
        <v>44.66</v>
      </c>
      <c r="F1324" t="s">
        <v>2513</v>
      </c>
      <c r="G1324" s="50">
        <v>1.84E-2</v>
      </c>
    </row>
    <row r="1325" spans="1:7" x14ac:dyDescent="0.25">
      <c r="A1325" t="s">
        <v>2514</v>
      </c>
      <c r="B1325">
        <v>44.58</v>
      </c>
      <c r="C1325">
        <v>44.85</v>
      </c>
      <c r="D1325">
        <v>45.37</v>
      </c>
      <c r="E1325">
        <v>44.48</v>
      </c>
      <c r="F1325" t="s">
        <v>2515</v>
      </c>
      <c r="G1325" s="50">
        <v>-1.6799999999999999E-2</v>
      </c>
    </row>
    <row r="1326" spans="1:7" x14ac:dyDescent="0.25">
      <c r="A1326" t="s">
        <v>2516</v>
      </c>
      <c r="B1326">
        <v>45.34</v>
      </c>
      <c r="C1326">
        <v>45.91</v>
      </c>
      <c r="D1326">
        <v>46.27</v>
      </c>
      <c r="E1326">
        <v>45.3</v>
      </c>
      <c r="F1326" t="s">
        <v>2517</v>
      </c>
      <c r="G1326" s="50">
        <v>-7.9000000000000008E-3</v>
      </c>
    </row>
    <row r="1327" spans="1:7" x14ac:dyDescent="0.25">
      <c r="A1327" t="s">
        <v>2518</v>
      </c>
      <c r="B1327">
        <v>45.7</v>
      </c>
      <c r="C1327">
        <v>45.24</v>
      </c>
      <c r="D1327">
        <v>46.46</v>
      </c>
      <c r="E1327">
        <v>45.08</v>
      </c>
      <c r="F1327" t="s">
        <v>2519</v>
      </c>
      <c r="G1327" s="50">
        <v>9.7000000000000003E-3</v>
      </c>
    </row>
    <row r="1328" spans="1:7" x14ac:dyDescent="0.25">
      <c r="A1328" t="s">
        <v>2520</v>
      </c>
      <c r="B1328">
        <v>45.26</v>
      </c>
      <c r="C1328">
        <v>44.88</v>
      </c>
      <c r="D1328">
        <v>45.35</v>
      </c>
      <c r="E1328">
        <v>44.77</v>
      </c>
      <c r="F1328" t="s">
        <v>1401</v>
      </c>
      <c r="G1328" s="50">
        <v>5.1000000000000004E-3</v>
      </c>
    </row>
    <row r="1329" spans="1:7" x14ac:dyDescent="0.25">
      <c r="A1329" t="s">
        <v>2521</v>
      </c>
      <c r="B1329">
        <v>45.03</v>
      </c>
      <c r="C1329">
        <v>45.04</v>
      </c>
      <c r="D1329">
        <v>45.17</v>
      </c>
      <c r="E1329">
        <v>44.71</v>
      </c>
      <c r="F1329" t="s">
        <v>2522</v>
      </c>
      <c r="G1329" s="50">
        <v>5.7999999999999996E-3</v>
      </c>
    </row>
    <row r="1330" spans="1:7" x14ac:dyDescent="0.25">
      <c r="A1330" t="s">
        <v>2523</v>
      </c>
      <c r="B1330">
        <v>44.77</v>
      </c>
      <c r="C1330">
        <v>44.75</v>
      </c>
      <c r="D1330">
        <v>44.88</v>
      </c>
      <c r="E1330">
        <v>44.23</v>
      </c>
      <c r="F1330" t="s">
        <v>1250</v>
      </c>
      <c r="G1330" s="50">
        <v>-7.4999999999999997E-3</v>
      </c>
    </row>
    <row r="1331" spans="1:7" x14ac:dyDescent="0.25">
      <c r="A1331" t="s">
        <v>2524</v>
      </c>
      <c r="B1331">
        <v>45.11</v>
      </c>
      <c r="C1331">
        <v>45.2</v>
      </c>
      <c r="D1331">
        <v>45.23</v>
      </c>
      <c r="E1331">
        <v>44.72</v>
      </c>
      <c r="F1331" t="s">
        <v>1794</v>
      </c>
      <c r="G1331" s="50">
        <v>-5.1000000000000004E-3</v>
      </c>
    </row>
    <row r="1332" spans="1:7" x14ac:dyDescent="0.25">
      <c r="A1332" t="s">
        <v>2525</v>
      </c>
      <c r="B1332">
        <v>45.34</v>
      </c>
      <c r="C1332">
        <v>45.33</v>
      </c>
      <c r="D1332">
        <v>45.5</v>
      </c>
      <c r="E1332">
        <v>45.14</v>
      </c>
      <c r="F1332" t="s">
        <v>1580</v>
      </c>
      <c r="G1332" s="50">
        <v>3.3E-3</v>
      </c>
    </row>
    <row r="1333" spans="1:7" x14ac:dyDescent="0.25">
      <c r="A1333" t="s">
        <v>2526</v>
      </c>
      <c r="B1333">
        <v>45.19</v>
      </c>
      <c r="C1333">
        <v>45.33</v>
      </c>
      <c r="D1333">
        <v>45.63</v>
      </c>
      <c r="E1333">
        <v>44.77</v>
      </c>
      <c r="F1333" t="s">
        <v>2527</v>
      </c>
      <c r="G1333" s="50">
        <v>-5.3E-3</v>
      </c>
    </row>
    <row r="1334" spans="1:7" x14ac:dyDescent="0.25">
      <c r="A1334" t="s">
        <v>2528</v>
      </c>
      <c r="B1334">
        <v>45.43</v>
      </c>
      <c r="C1334">
        <v>44.96</v>
      </c>
      <c r="D1334">
        <v>45.65</v>
      </c>
      <c r="E1334">
        <v>44.88</v>
      </c>
      <c r="F1334" t="s">
        <v>2529</v>
      </c>
      <c r="G1334" s="50">
        <v>6.1999999999999998E-3</v>
      </c>
    </row>
    <row r="1335" spans="1:7" x14ac:dyDescent="0.25">
      <c r="A1335" t="s">
        <v>2530</v>
      </c>
      <c r="B1335">
        <v>45.15</v>
      </c>
      <c r="C1335">
        <v>44.87</v>
      </c>
      <c r="D1335">
        <v>45.6</v>
      </c>
      <c r="E1335">
        <v>44.85</v>
      </c>
      <c r="F1335" t="s">
        <v>2531</v>
      </c>
      <c r="G1335" s="50">
        <v>-4.5999999999999999E-3</v>
      </c>
    </row>
    <row r="1336" spans="1:7" x14ac:dyDescent="0.25">
      <c r="A1336" t="s">
        <v>2532</v>
      </c>
      <c r="B1336">
        <v>45.36</v>
      </c>
      <c r="C1336">
        <v>45.29</v>
      </c>
      <c r="D1336">
        <v>45.97</v>
      </c>
      <c r="E1336">
        <v>45.18</v>
      </c>
      <c r="F1336" t="s">
        <v>1752</v>
      </c>
      <c r="G1336" s="50">
        <v>-9.4000000000000004E-3</v>
      </c>
    </row>
    <row r="1337" spans="1:7" x14ac:dyDescent="0.25">
      <c r="A1337" t="s">
        <v>2533</v>
      </c>
      <c r="B1337">
        <v>45.79</v>
      </c>
      <c r="C1337">
        <v>45.3</v>
      </c>
      <c r="D1337">
        <v>45.92</v>
      </c>
      <c r="E1337">
        <v>44.96</v>
      </c>
      <c r="F1337" t="s">
        <v>2138</v>
      </c>
      <c r="G1337" s="50">
        <v>9.4999999999999998E-3</v>
      </c>
    </row>
    <row r="1338" spans="1:7" x14ac:dyDescent="0.25">
      <c r="A1338" t="s">
        <v>2534</v>
      </c>
      <c r="B1338">
        <v>45.36</v>
      </c>
      <c r="C1338">
        <v>45.15</v>
      </c>
      <c r="D1338">
        <v>45.95</v>
      </c>
      <c r="E1338">
        <v>45.02</v>
      </c>
      <c r="F1338" t="s">
        <v>2535</v>
      </c>
      <c r="G1338" s="50">
        <v>6.7000000000000002E-3</v>
      </c>
    </row>
    <row r="1339" spans="1:7" x14ac:dyDescent="0.25">
      <c r="A1339" t="s">
        <v>2536</v>
      </c>
      <c r="B1339">
        <v>45.06</v>
      </c>
      <c r="C1339">
        <v>44.48</v>
      </c>
      <c r="D1339">
        <v>45.41</v>
      </c>
      <c r="E1339">
        <v>44.25</v>
      </c>
      <c r="F1339" t="s">
        <v>675</v>
      </c>
      <c r="G1339" s="50">
        <v>2.2000000000000001E-3</v>
      </c>
    </row>
    <row r="1340" spans="1:7" x14ac:dyDescent="0.25">
      <c r="A1340" t="s">
        <v>2537</v>
      </c>
      <c r="B1340">
        <v>44.96</v>
      </c>
      <c r="C1340">
        <v>44.2</v>
      </c>
      <c r="D1340">
        <v>45.1</v>
      </c>
      <c r="E1340">
        <v>44.17</v>
      </c>
      <c r="F1340" t="s">
        <v>1818</v>
      </c>
      <c r="G1340" s="50">
        <v>1.26E-2</v>
      </c>
    </row>
    <row r="1341" spans="1:7" x14ac:dyDescent="0.25">
      <c r="A1341" t="s">
        <v>2538</v>
      </c>
      <c r="B1341">
        <v>44.4</v>
      </c>
      <c r="C1341">
        <v>44.13</v>
      </c>
      <c r="D1341">
        <v>44.87</v>
      </c>
      <c r="E1341">
        <v>43.89</v>
      </c>
      <c r="F1341" t="s">
        <v>2061</v>
      </c>
      <c r="G1341" s="50">
        <v>9.4999999999999998E-3</v>
      </c>
    </row>
    <row r="1342" spans="1:7" x14ac:dyDescent="0.25">
      <c r="A1342" t="s">
        <v>2539</v>
      </c>
      <c r="B1342">
        <v>43.98</v>
      </c>
      <c r="C1342">
        <v>43.68</v>
      </c>
      <c r="D1342">
        <v>44.07</v>
      </c>
      <c r="E1342">
        <v>43.38</v>
      </c>
      <c r="F1342" t="s">
        <v>372</v>
      </c>
      <c r="G1342" s="50">
        <v>5.0000000000000001E-4</v>
      </c>
    </row>
    <row r="1343" spans="1:7" x14ac:dyDescent="0.25">
      <c r="A1343" t="s">
        <v>2540</v>
      </c>
      <c r="B1343">
        <v>43.96</v>
      </c>
      <c r="C1343">
        <v>44.31</v>
      </c>
      <c r="D1343">
        <v>44.37</v>
      </c>
      <c r="E1343">
        <v>43.35</v>
      </c>
      <c r="F1343" t="s">
        <v>2541</v>
      </c>
      <c r="G1343" s="50">
        <v>-1.77E-2</v>
      </c>
    </row>
    <row r="1344" spans="1:7" x14ac:dyDescent="0.25">
      <c r="A1344" t="s">
        <v>2542</v>
      </c>
      <c r="B1344">
        <v>44.75</v>
      </c>
      <c r="C1344">
        <v>44.38</v>
      </c>
      <c r="D1344">
        <v>44.84</v>
      </c>
      <c r="E1344">
        <v>44.16</v>
      </c>
      <c r="F1344" t="s">
        <v>1012</v>
      </c>
      <c r="G1344" s="50">
        <v>6.1000000000000004E-3</v>
      </c>
    </row>
    <row r="1345" spans="1:7" x14ac:dyDescent="0.25">
      <c r="A1345" t="s">
        <v>2543</v>
      </c>
      <c r="B1345">
        <v>44.48</v>
      </c>
      <c r="C1345">
        <v>44.74</v>
      </c>
      <c r="D1345">
        <v>45.06</v>
      </c>
      <c r="E1345">
        <v>44.44</v>
      </c>
      <c r="F1345" t="s">
        <v>2544</v>
      </c>
      <c r="G1345" s="50">
        <v>-3.5999999999999999E-3</v>
      </c>
    </row>
    <row r="1346" spans="1:7" x14ac:dyDescent="0.25">
      <c r="A1346" t="s">
        <v>2545</v>
      </c>
      <c r="B1346">
        <v>44.64</v>
      </c>
      <c r="C1346">
        <v>44.97</v>
      </c>
      <c r="D1346">
        <v>45.24</v>
      </c>
      <c r="E1346">
        <v>44.53</v>
      </c>
      <c r="F1346" t="s">
        <v>2546</v>
      </c>
      <c r="G1346" s="50">
        <v>-6.1999999999999998E-3</v>
      </c>
    </row>
    <row r="1347" spans="1:7" x14ac:dyDescent="0.25">
      <c r="A1347" t="s">
        <v>2547</v>
      </c>
      <c r="B1347">
        <v>44.92</v>
      </c>
      <c r="C1347">
        <v>44.93</v>
      </c>
      <c r="D1347">
        <v>45.34</v>
      </c>
      <c r="E1347">
        <v>44.72</v>
      </c>
      <c r="F1347" t="s">
        <v>237</v>
      </c>
      <c r="G1347" s="50">
        <v>8.5000000000000006E-3</v>
      </c>
    </row>
    <row r="1348" spans="1:7" x14ac:dyDescent="0.25">
      <c r="A1348" t="s">
        <v>2548</v>
      </c>
      <c r="B1348">
        <v>44.54</v>
      </c>
      <c r="C1348">
        <v>44.45</v>
      </c>
      <c r="D1348">
        <v>44.59</v>
      </c>
      <c r="E1348">
        <v>44.23</v>
      </c>
      <c r="F1348" t="s">
        <v>2549</v>
      </c>
      <c r="G1348" s="50">
        <v>3.5999999999999999E-3</v>
      </c>
    </row>
    <row r="1349" spans="1:7" x14ac:dyDescent="0.25">
      <c r="A1349" t="s">
        <v>2550</v>
      </c>
      <c r="B1349">
        <v>44.38</v>
      </c>
      <c r="C1349">
        <v>44.65</v>
      </c>
      <c r="D1349">
        <v>44.8</v>
      </c>
      <c r="E1349">
        <v>44.35</v>
      </c>
      <c r="F1349" t="s">
        <v>2551</v>
      </c>
      <c r="G1349" s="50">
        <v>-6.8999999999999999E-3</v>
      </c>
    </row>
    <row r="1350" spans="1:7" x14ac:dyDescent="0.25">
      <c r="A1350" t="s">
        <v>2552</v>
      </c>
      <c r="B1350">
        <v>44.69</v>
      </c>
      <c r="C1350">
        <v>44.44</v>
      </c>
      <c r="D1350">
        <v>45.07</v>
      </c>
      <c r="E1350">
        <v>44.44</v>
      </c>
      <c r="F1350" t="s">
        <v>1554</v>
      </c>
      <c r="G1350" s="50">
        <v>-4.1999999999999997E-3</v>
      </c>
    </row>
    <row r="1351" spans="1:7" x14ac:dyDescent="0.25">
      <c r="A1351" t="s">
        <v>2553</v>
      </c>
      <c r="B1351">
        <v>44.88</v>
      </c>
      <c r="C1351">
        <v>44.47</v>
      </c>
      <c r="D1351">
        <v>44.95</v>
      </c>
      <c r="E1351">
        <v>44.06</v>
      </c>
      <c r="F1351" t="s">
        <v>2285</v>
      </c>
      <c r="G1351" s="50">
        <v>-1.23E-2</v>
      </c>
    </row>
    <row r="1352" spans="1:7" x14ac:dyDescent="0.25">
      <c r="A1352" t="s">
        <v>2554</v>
      </c>
      <c r="B1352">
        <v>45.44</v>
      </c>
      <c r="C1352">
        <v>44.9</v>
      </c>
      <c r="D1352">
        <v>45.57</v>
      </c>
      <c r="E1352">
        <v>44.77</v>
      </c>
      <c r="F1352" t="s">
        <v>2555</v>
      </c>
      <c r="G1352" s="50">
        <v>1.38E-2</v>
      </c>
    </row>
    <row r="1353" spans="1:7" x14ac:dyDescent="0.25">
      <c r="A1353" t="s">
        <v>2556</v>
      </c>
      <c r="B1353">
        <v>44.82</v>
      </c>
      <c r="C1353">
        <v>44.91</v>
      </c>
      <c r="D1353">
        <v>44.93</v>
      </c>
      <c r="E1353">
        <v>44.6</v>
      </c>
      <c r="F1353" t="s">
        <v>874</v>
      </c>
      <c r="G1353" s="50">
        <v>2.2000000000000001E-3</v>
      </c>
    </row>
    <row r="1354" spans="1:7" x14ac:dyDescent="0.25">
      <c r="A1354" t="s">
        <v>2557</v>
      </c>
      <c r="B1354">
        <v>44.72</v>
      </c>
      <c r="C1354">
        <v>44.7</v>
      </c>
      <c r="D1354">
        <v>45.14</v>
      </c>
      <c r="E1354">
        <v>44.52</v>
      </c>
      <c r="F1354" t="s">
        <v>1219</v>
      </c>
      <c r="G1354" s="50">
        <v>0</v>
      </c>
    </row>
    <row r="1355" spans="1:7" x14ac:dyDescent="0.25">
      <c r="A1355" t="s">
        <v>2558</v>
      </c>
      <c r="B1355">
        <v>44.72</v>
      </c>
      <c r="C1355">
        <v>44.39</v>
      </c>
      <c r="D1355">
        <v>44.8</v>
      </c>
      <c r="E1355">
        <v>44.13</v>
      </c>
      <c r="F1355" t="s">
        <v>2559</v>
      </c>
      <c r="G1355" s="50">
        <v>1.0800000000000001E-2</v>
      </c>
    </row>
    <row r="1356" spans="1:7" x14ac:dyDescent="0.25">
      <c r="A1356" t="s">
        <v>2560</v>
      </c>
      <c r="B1356">
        <v>44.24</v>
      </c>
      <c r="C1356">
        <v>44.27</v>
      </c>
      <c r="D1356">
        <v>44.91</v>
      </c>
      <c r="E1356">
        <v>44.15</v>
      </c>
      <c r="F1356" t="s">
        <v>481</v>
      </c>
      <c r="G1356" s="50">
        <v>-1.8E-3</v>
      </c>
    </row>
    <row r="1357" spans="1:7" x14ac:dyDescent="0.25">
      <c r="A1357" t="s">
        <v>2561</v>
      </c>
      <c r="B1357">
        <v>44.32</v>
      </c>
      <c r="C1357">
        <v>43.94</v>
      </c>
      <c r="D1357">
        <v>44.33</v>
      </c>
      <c r="E1357">
        <v>43.72</v>
      </c>
      <c r="F1357" t="s">
        <v>2562</v>
      </c>
      <c r="G1357" s="50">
        <v>0</v>
      </c>
    </row>
    <row r="1358" spans="1:7" x14ac:dyDescent="0.25">
      <c r="A1358" t="s">
        <v>2563</v>
      </c>
      <c r="B1358">
        <v>44.32</v>
      </c>
      <c r="C1358">
        <v>44.54</v>
      </c>
      <c r="D1358">
        <v>44.6</v>
      </c>
      <c r="E1358">
        <v>44.11</v>
      </c>
      <c r="F1358" t="s">
        <v>426</v>
      </c>
      <c r="G1358" s="50">
        <v>-8.3000000000000001E-3</v>
      </c>
    </row>
    <row r="1359" spans="1:7" x14ac:dyDescent="0.25">
      <c r="A1359" t="s">
        <v>2564</v>
      </c>
      <c r="B1359">
        <v>44.69</v>
      </c>
      <c r="C1359">
        <v>44.47</v>
      </c>
      <c r="D1359">
        <v>44.83</v>
      </c>
      <c r="E1359">
        <v>44.36</v>
      </c>
      <c r="F1359" t="s">
        <v>2565</v>
      </c>
      <c r="G1359" s="50">
        <v>7.1999999999999998E-3</v>
      </c>
    </row>
    <row r="1360" spans="1:7" x14ac:dyDescent="0.25">
      <c r="A1360" t="s">
        <v>2566</v>
      </c>
      <c r="B1360">
        <v>44.37</v>
      </c>
      <c r="C1360">
        <v>44.21</v>
      </c>
      <c r="D1360">
        <v>44.52</v>
      </c>
      <c r="E1360">
        <v>43.93</v>
      </c>
      <c r="F1360" t="s">
        <v>2435</v>
      </c>
      <c r="G1360" s="50">
        <v>5.0000000000000001E-4</v>
      </c>
    </row>
    <row r="1361" spans="1:7" x14ac:dyDescent="0.25">
      <c r="A1361" t="s">
        <v>2567</v>
      </c>
      <c r="B1361">
        <v>44.35</v>
      </c>
      <c r="C1361">
        <v>44.29</v>
      </c>
      <c r="D1361">
        <v>44.49</v>
      </c>
      <c r="E1361">
        <v>43.91</v>
      </c>
      <c r="F1361" t="s">
        <v>2568</v>
      </c>
      <c r="G1361" s="50">
        <v>-6.9999999999999999E-4</v>
      </c>
    </row>
    <row r="1362" spans="1:7" x14ac:dyDescent="0.25">
      <c r="A1362" t="s">
        <v>2569</v>
      </c>
      <c r="B1362">
        <v>44.38</v>
      </c>
      <c r="C1362">
        <v>43.89</v>
      </c>
      <c r="D1362">
        <v>44.51</v>
      </c>
      <c r="E1362">
        <v>43.89</v>
      </c>
      <c r="F1362" t="s">
        <v>2570</v>
      </c>
      <c r="G1362" s="50">
        <v>6.1000000000000004E-3</v>
      </c>
    </row>
    <row r="1363" spans="1:7" x14ac:dyDescent="0.25">
      <c r="A1363" t="s">
        <v>2571</v>
      </c>
      <c r="B1363">
        <v>44.11</v>
      </c>
      <c r="C1363">
        <v>43.78</v>
      </c>
      <c r="D1363">
        <v>44.14</v>
      </c>
      <c r="E1363">
        <v>43.59</v>
      </c>
      <c r="F1363" t="s">
        <v>2572</v>
      </c>
      <c r="G1363" s="50">
        <v>5.0000000000000001E-3</v>
      </c>
    </row>
    <row r="1364" spans="1:7" x14ac:dyDescent="0.25">
      <c r="A1364" t="s">
        <v>2573</v>
      </c>
      <c r="B1364">
        <v>43.89</v>
      </c>
      <c r="C1364">
        <v>43.39</v>
      </c>
      <c r="D1364">
        <v>43.96</v>
      </c>
      <c r="E1364">
        <v>43.35</v>
      </c>
      <c r="F1364" t="s">
        <v>2574</v>
      </c>
      <c r="G1364" s="50">
        <v>8.0000000000000002E-3</v>
      </c>
    </row>
    <row r="1365" spans="1:7" x14ac:dyDescent="0.25">
      <c r="A1365" t="s">
        <v>2575</v>
      </c>
      <c r="B1365">
        <v>43.54</v>
      </c>
      <c r="C1365">
        <v>43.01</v>
      </c>
      <c r="D1365">
        <v>44.07</v>
      </c>
      <c r="E1365">
        <v>43.01</v>
      </c>
      <c r="F1365" t="s">
        <v>2576</v>
      </c>
      <c r="G1365" s="50">
        <v>1.21E-2</v>
      </c>
    </row>
    <row r="1366" spans="1:7" x14ac:dyDescent="0.25">
      <c r="A1366" t="s">
        <v>2577</v>
      </c>
      <c r="B1366">
        <v>43.02</v>
      </c>
      <c r="C1366">
        <v>42.44</v>
      </c>
      <c r="D1366">
        <v>43.05</v>
      </c>
      <c r="E1366">
        <v>42.41</v>
      </c>
      <c r="F1366" t="s">
        <v>2578</v>
      </c>
      <c r="G1366" s="50">
        <v>7.4999999999999997E-3</v>
      </c>
    </row>
    <row r="1367" spans="1:7" x14ac:dyDescent="0.25">
      <c r="A1367" t="s">
        <v>2579</v>
      </c>
      <c r="B1367">
        <v>42.7</v>
      </c>
      <c r="C1367">
        <v>42.85</v>
      </c>
      <c r="D1367">
        <v>42.98</v>
      </c>
      <c r="E1367">
        <v>42.64</v>
      </c>
      <c r="F1367" t="s">
        <v>2580</v>
      </c>
      <c r="G1367" s="50">
        <v>4.7000000000000002E-3</v>
      </c>
    </row>
    <row r="1368" spans="1:7" x14ac:dyDescent="0.25">
      <c r="A1368" t="s">
        <v>2581</v>
      </c>
      <c r="B1368">
        <v>42.5</v>
      </c>
      <c r="C1368">
        <v>42.78</v>
      </c>
      <c r="D1368">
        <v>42.8</v>
      </c>
      <c r="E1368">
        <v>42.21</v>
      </c>
      <c r="F1368" t="s">
        <v>1455</v>
      </c>
      <c r="G1368" s="50">
        <v>-2.5999999999999999E-3</v>
      </c>
    </row>
    <row r="1369" spans="1:7" x14ac:dyDescent="0.25">
      <c r="A1369" t="s">
        <v>2582</v>
      </c>
      <c r="B1369">
        <v>42.61</v>
      </c>
      <c r="C1369">
        <v>42.14</v>
      </c>
      <c r="D1369">
        <v>42.71</v>
      </c>
      <c r="E1369">
        <v>41.9</v>
      </c>
      <c r="F1369" t="s">
        <v>1604</v>
      </c>
      <c r="G1369" s="50">
        <v>2.3300000000000001E-2</v>
      </c>
    </row>
    <row r="1370" spans="1:7" x14ac:dyDescent="0.25">
      <c r="A1370" t="s">
        <v>2583</v>
      </c>
      <c r="B1370">
        <v>41.64</v>
      </c>
      <c r="C1370">
        <v>41.03</v>
      </c>
      <c r="D1370">
        <v>41.8</v>
      </c>
      <c r="E1370">
        <v>41.02</v>
      </c>
      <c r="F1370" t="s">
        <v>1602</v>
      </c>
      <c r="G1370" s="50">
        <v>1.6400000000000001E-2</v>
      </c>
    </row>
    <row r="1371" spans="1:7" x14ac:dyDescent="0.25">
      <c r="A1371" t="s">
        <v>2584</v>
      </c>
      <c r="B1371">
        <v>40.97</v>
      </c>
      <c r="C1371">
        <v>41.05</v>
      </c>
      <c r="D1371">
        <v>41.39</v>
      </c>
      <c r="E1371">
        <v>40.92</v>
      </c>
      <c r="F1371" t="s">
        <v>2585</v>
      </c>
      <c r="G1371" s="50">
        <v>-4.8999999999999998E-3</v>
      </c>
    </row>
    <row r="1372" spans="1:7" x14ac:dyDescent="0.25">
      <c r="A1372" t="s">
        <v>2586</v>
      </c>
      <c r="B1372">
        <v>41.17</v>
      </c>
      <c r="C1372">
        <v>41</v>
      </c>
      <c r="D1372">
        <v>41.37</v>
      </c>
      <c r="E1372">
        <v>40.770000000000003</v>
      </c>
      <c r="F1372" t="s">
        <v>2372</v>
      </c>
      <c r="G1372" s="50">
        <v>-3.5999999999999999E-3</v>
      </c>
    </row>
    <row r="1373" spans="1:7" x14ac:dyDescent="0.25">
      <c r="A1373" t="s">
        <v>2587</v>
      </c>
      <c r="B1373">
        <v>41.32</v>
      </c>
      <c r="C1373">
        <v>41.9</v>
      </c>
      <c r="D1373">
        <v>42.24</v>
      </c>
      <c r="E1373">
        <v>41.26</v>
      </c>
      <c r="F1373" t="s">
        <v>2588</v>
      </c>
      <c r="G1373" s="50">
        <v>-1.34E-2</v>
      </c>
    </row>
    <row r="1374" spans="1:7" x14ac:dyDescent="0.25">
      <c r="A1374" t="s">
        <v>2589</v>
      </c>
      <c r="B1374">
        <v>41.88</v>
      </c>
      <c r="C1374">
        <v>41.92</v>
      </c>
      <c r="D1374">
        <v>42.34</v>
      </c>
      <c r="E1374">
        <v>41.62</v>
      </c>
      <c r="F1374" t="s">
        <v>726</v>
      </c>
      <c r="G1374" s="50">
        <v>-1.55E-2</v>
      </c>
    </row>
    <row r="1375" spans="1:7" x14ac:dyDescent="0.25">
      <c r="A1375" t="s">
        <v>2590</v>
      </c>
      <c r="B1375">
        <v>42.54</v>
      </c>
      <c r="C1375">
        <v>41.74</v>
      </c>
      <c r="D1375">
        <v>42.59</v>
      </c>
      <c r="E1375">
        <v>41.35</v>
      </c>
      <c r="F1375" t="s">
        <v>2591</v>
      </c>
      <c r="G1375" s="50">
        <v>2.75E-2</v>
      </c>
    </row>
    <row r="1376" spans="1:7" x14ac:dyDescent="0.25">
      <c r="A1376" t="s">
        <v>2592</v>
      </c>
      <c r="B1376">
        <v>41.4</v>
      </c>
      <c r="C1376">
        <v>41.2</v>
      </c>
      <c r="D1376">
        <v>41.52</v>
      </c>
      <c r="E1376">
        <v>40.56</v>
      </c>
      <c r="F1376" t="s">
        <v>2593</v>
      </c>
      <c r="G1376" s="50">
        <v>7.0599999999999996E-2</v>
      </c>
    </row>
    <row r="1377" spans="1:7" x14ac:dyDescent="0.25">
      <c r="A1377" t="s">
        <v>2594</v>
      </c>
      <c r="B1377">
        <v>38.67</v>
      </c>
      <c r="C1377">
        <v>38.979999999999997</v>
      </c>
      <c r="D1377">
        <v>39.39</v>
      </c>
      <c r="E1377">
        <v>38.4</v>
      </c>
      <c r="F1377" t="s">
        <v>2595</v>
      </c>
      <c r="G1377" s="50">
        <v>-1.6799999999999999E-2</v>
      </c>
    </row>
    <row r="1378" spans="1:7" x14ac:dyDescent="0.25">
      <c r="A1378" t="s">
        <v>2596</v>
      </c>
      <c r="B1378">
        <v>39.33</v>
      </c>
      <c r="C1378">
        <v>39.01</v>
      </c>
      <c r="D1378">
        <v>39.450000000000003</v>
      </c>
      <c r="E1378">
        <v>38.44</v>
      </c>
      <c r="F1378" t="s">
        <v>2597</v>
      </c>
      <c r="G1378" s="50">
        <v>1.5800000000000002E-2</v>
      </c>
    </row>
    <row r="1379" spans="1:7" x14ac:dyDescent="0.25">
      <c r="A1379" t="s">
        <v>2598</v>
      </c>
      <c r="B1379">
        <v>38.72</v>
      </c>
      <c r="C1379">
        <v>38.21</v>
      </c>
      <c r="D1379">
        <v>39.020000000000003</v>
      </c>
      <c r="E1379">
        <v>38.17</v>
      </c>
      <c r="F1379" t="s">
        <v>2599</v>
      </c>
      <c r="G1379" s="50">
        <v>1.3599999999999999E-2</v>
      </c>
    </row>
    <row r="1380" spans="1:7" x14ac:dyDescent="0.25">
      <c r="A1380" t="s">
        <v>2600</v>
      </c>
      <c r="B1380">
        <v>38.200000000000003</v>
      </c>
      <c r="C1380">
        <v>39.92</v>
      </c>
      <c r="D1380">
        <v>40.229999999999997</v>
      </c>
      <c r="E1380">
        <v>38.119999999999997</v>
      </c>
      <c r="F1380" t="s">
        <v>2601</v>
      </c>
      <c r="G1380" s="50">
        <v>1.7899999999999999E-2</v>
      </c>
    </row>
    <row r="1381" spans="1:7" x14ac:dyDescent="0.25">
      <c r="A1381" t="s">
        <v>2602</v>
      </c>
      <c r="B1381">
        <v>37.53</v>
      </c>
      <c r="C1381">
        <v>37.56</v>
      </c>
      <c r="D1381">
        <v>37.6</v>
      </c>
      <c r="E1381">
        <v>37.08</v>
      </c>
      <c r="F1381" t="s">
        <v>2603</v>
      </c>
      <c r="G1381" s="50">
        <v>8.0999999999999996E-3</v>
      </c>
    </row>
    <row r="1382" spans="1:7" x14ac:dyDescent="0.25">
      <c r="A1382" t="s">
        <v>2604</v>
      </c>
      <c r="B1382">
        <v>37.229999999999997</v>
      </c>
      <c r="C1382">
        <v>37.020000000000003</v>
      </c>
      <c r="D1382">
        <v>37.299999999999997</v>
      </c>
      <c r="E1382">
        <v>36.909999999999997</v>
      </c>
      <c r="F1382" t="s">
        <v>293</v>
      </c>
      <c r="G1382" s="50">
        <v>1.7999999999999999E-2</v>
      </c>
    </row>
    <row r="1383" spans="1:7" x14ac:dyDescent="0.25">
      <c r="A1383" t="s">
        <v>2605</v>
      </c>
      <c r="B1383">
        <v>36.57</v>
      </c>
      <c r="C1383">
        <v>37.03</v>
      </c>
      <c r="D1383">
        <v>37.299999999999997</v>
      </c>
      <c r="E1383">
        <v>36.5</v>
      </c>
      <c r="F1383" t="s">
        <v>823</v>
      </c>
      <c r="G1383" s="50">
        <v>-3.0000000000000001E-3</v>
      </c>
    </row>
    <row r="1384" spans="1:7" x14ac:dyDescent="0.25">
      <c r="A1384" t="s">
        <v>2606</v>
      </c>
      <c r="B1384">
        <v>36.68</v>
      </c>
      <c r="C1384">
        <v>36.36</v>
      </c>
      <c r="D1384">
        <v>37.33</v>
      </c>
      <c r="E1384">
        <v>36.299999999999997</v>
      </c>
      <c r="F1384" t="s">
        <v>2607</v>
      </c>
      <c r="G1384" s="50">
        <v>2.1700000000000001E-2</v>
      </c>
    </row>
    <row r="1385" spans="1:7" x14ac:dyDescent="0.25">
      <c r="A1385" t="s">
        <v>2608</v>
      </c>
      <c r="B1385">
        <v>35.9</v>
      </c>
      <c r="C1385">
        <v>36.19</v>
      </c>
      <c r="D1385">
        <v>36.35</v>
      </c>
      <c r="E1385">
        <v>35.67</v>
      </c>
      <c r="F1385" t="s">
        <v>2609</v>
      </c>
      <c r="G1385" s="50">
        <v>0</v>
      </c>
    </row>
    <row r="1386" spans="1:7" x14ac:dyDescent="0.25">
      <c r="A1386" t="s">
        <v>2610</v>
      </c>
      <c r="B1386">
        <v>35.9</v>
      </c>
      <c r="C1386">
        <v>35.590000000000003</v>
      </c>
      <c r="D1386">
        <v>35.93</v>
      </c>
      <c r="E1386">
        <v>35.49</v>
      </c>
      <c r="F1386" t="s">
        <v>2611</v>
      </c>
      <c r="G1386" s="50">
        <v>5.8999999999999999E-3</v>
      </c>
    </row>
    <row r="1387" spans="1:7" x14ac:dyDescent="0.25">
      <c r="A1387" t="s">
        <v>2612</v>
      </c>
      <c r="B1387">
        <v>35.69</v>
      </c>
      <c r="C1387">
        <v>35.51</v>
      </c>
      <c r="D1387">
        <v>36.07</v>
      </c>
      <c r="E1387">
        <v>35.28</v>
      </c>
      <c r="F1387" t="s">
        <v>2613</v>
      </c>
      <c r="G1387" s="50">
        <v>-5.9999999999999995E-4</v>
      </c>
    </row>
    <row r="1388" spans="1:7" x14ac:dyDescent="0.25">
      <c r="A1388" t="s">
        <v>2614</v>
      </c>
      <c r="B1388">
        <v>35.71</v>
      </c>
      <c r="C1388">
        <v>36.31</v>
      </c>
      <c r="D1388">
        <v>36.51</v>
      </c>
      <c r="E1388">
        <v>35.68</v>
      </c>
      <c r="F1388" t="s">
        <v>2615</v>
      </c>
      <c r="G1388" s="50">
        <v>-3.15E-2</v>
      </c>
    </row>
    <row r="1389" spans="1:7" x14ac:dyDescent="0.25">
      <c r="A1389" t="s">
        <v>2616</v>
      </c>
      <c r="B1389">
        <v>36.869999999999997</v>
      </c>
      <c r="C1389">
        <v>37.380000000000003</v>
      </c>
      <c r="D1389">
        <v>37.5</v>
      </c>
      <c r="E1389">
        <v>36.590000000000003</v>
      </c>
      <c r="F1389" t="s">
        <v>2617</v>
      </c>
      <c r="G1389" s="50">
        <v>-2.12E-2</v>
      </c>
    </row>
    <row r="1390" spans="1:7" x14ac:dyDescent="0.25">
      <c r="A1390" t="s">
        <v>2618</v>
      </c>
      <c r="B1390">
        <v>37.67</v>
      </c>
      <c r="C1390">
        <v>38.4</v>
      </c>
      <c r="D1390">
        <v>38.43</v>
      </c>
      <c r="E1390">
        <v>37.15</v>
      </c>
      <c r="F1390" t="s">
        <v>2619</v>
      </c>
      <c r="G1390" s="50">
        <v>-2.9600000000000001E-2</v>
      </c>
    </row>
    <row r="1391" spans="1:7" x14ac:dyDescent="0.25">
      <c r="A1391" t="s">
        <v>2620</v>
      </c>
      <c r="B1391">
        <v>38.82</v>
      </c>
      <c r="C1391">
        <v>38.93</v>
      </c>
      <c r="D1391">
        <v>38.97</v>
      </c>
      <c r="E1391">
        <v>38.65</v>
      </c>
      <c r="F1391" t="s">
        <v>2425</v>
      </c>
      <c r="G1391" s="50">
        <v>0</v>
      </c>
    </row>
    <row r="1392" spans="1:7" x14ac:dyDescent="0.25">
      <c r="A1392" t="s">
        <v>2621</v>
      </c>
      <c r="B1392">
        <v>38.82</v>
      </c>
      <c r="C1392">
        <v>38.85</v>
      </c>
      <c r="D1392">
        <v>38.96</v>
      </c>
      <c r="E1392">
        <v>38.380000000000003</v>
      </c>
      <c r="F1392" t="s">
        <v>540</v>
      </c>
      <c r="G1392" s="50">
        <v>-6.1000000000000004E-3</v>
      </c>
    </row>
    <row r="1393" spans="1:7" x14ac:dyDescent="0.25">
      <c r="A1393" t="s">
        <v>2622</v>
      </c>
      <c r="B1393">
        <v>39.06</v>
      </c>
      <c r="C1393">
        <v>39.31</v>
      </c>
      <c r="D1393">
        <v>39.57</v>
      </c>
      <c r="E1393">
        <v>38.979999999999997</v>
      </c>
      <c r="F1393" t="s">
        <v>399</v>
      </c>
      <c r="G1393" s="50">
        <v>-3.5999999999999999E-3</v>
      </c>
    </row>
    <row r="1394" spans="1:7" x14ac:dyDescent="0.25">
      <c r="A1394" t="s">
        <v>2623</v>
      </c>
      <c r="B1394">
        <v>39.200000000000003</v>
      </c>
      <c r="C1394">
        <v>39.44</v>
      </c>
      <c r="D1394">
        <v>39.51</v>
      </c>
      <c r="E1394">
        <v>39.03</v>
      </c>
      <c r="F1394" t="s">
        <v>837</v>
      </c>
      <c r="G1394" s="50">
        <v>-2.5000000000000001E-3</v>
      </c>
    </row>
    <row r="1395" spans="1:7" x14ac:dyDescent="0.25">
      <c r="A1395" t="s">
        <v>2624</v>
      </c>
      <c r="B1395">
        <v>39.299999999999997</v>
      </c>
      <c r="C1395">
        <v>40.15</v>
      </c>
      <c r="D1395">
        <v>40.380000000000003</v>
      </c>
      <c r="E1395">
        <v>39.159999999999997</v>
      </c>
      <c r="F1395" t="s">
        <v>1227</v>
      </c>
      <c r="G1395" s="50">
        <v>-2.1399999999999999E-2</v>
      </c>
    </row>
    <row r="1396" spans="1:7" x14ac:dyDescent="0.25">
      <c r="A1396" t="s">
        <v>2625</v>
      </c>
      <c r="B1396">
        <v>40.159999999999997</v>
      </c>
      <c r="C1396">
        <v>39.880000000000003</v>
      </c>
      <c r="D1396">
        <v>40.299999999999997</v>
      </c>
      <c r="E1396">
        <v>39.549999999999997</v>
      </c>
      <c r="F1396" t="s">
        <v>433</v>
      </c>
      <c r="G1396" s="50">
        <v>4.7999999999999996E-3</v>
      </c>
    </row>
    <row r="1397" spans="1:7" x14ac:dyDescent="0.25">
      <c r="A1397" t="s">
        <v>2626</v>
      </c>
      <c r="B1397">
        <v>39.97</v>
      </c>
      <c r="C1397">
        <v>39.47</v>
      </c>
      <c r="D1397">
        <v>40</v>
      </c>
      <c r="E1397">
        <v>39.35</v>
      </c>
      <c r="F1397" t="s">
        <v>1130</v>
      </c>
      <c r="G1397" s="50">
        <v>2E-3</v>
      </c>
    </row>
    <row r="1398" spans="1:7" x14ac:dyDescent="0.25">
      <c r="A1398" t="s">
        <v>2627</v>
      </c>
      <c r="B1398">
        <v>39.89</v>
      </c>
      <c r="C1398">
        <v>39.85</v>
      </c>
      <c r="D1398">
        <v>40.42</v>
      </c>
      <c r="E1398">
        <v>39.76</v>
      </c>
      <c r="F1398" t="s">
        <v>1041</v>
      </c>
      <c r="G1398" s="50">
        <v>2E-3</v>
      </c>
    </row>
    <row r="1399" spans="1:7" x14ac:dyDescent="0.25">
      <c r="A1399" t="s">
        <v>2628</v>
      </c>
      <c r="B1399">
        <v>39.81</v>
      </c>
      <c r="C1399">
        <v>40.54</v>
      </c>
      <c r="D1399">
        <v>40.61</v>
      </c>
      <c r="E1399">
        <v>39.71</v>
      </c>
      <c r="F1399" t="s">
        <v>2629</v>
      </c>
      <c r="G1399" s="50">
        <v>-1.3599999999999999E-2</v>
      </c>
    </row>
    <row r="1400" spans="1:7" x14ac:dyDescent="0.25">
      <c r="A1400" t="s">
        <v>2630</v>
      </c>
      <c r="B1400">
        <v>40.36</v>
      </c>
      <c r="C1400">
        <v>39.93</v>
      </c>
      <c r="D1400">
        <v>40.53</v>
      </c>
      <c r="E1400">
        <v>39.630000000000003</v>
      </c>
      <c r="F1400" t="s">
        <v>1948</v>
      </c>
      <c r="G1400" s="50">
        <v>1.2800000000000001E-2</v>
      </c>
    </row>
    <row r="1401" spans="1:7" x14ac:dyDescent="0.25">
      <c r="A1401" t="s">
        <v>2631</v>
      </c>
      <c r="B1401">
        <v>39.85</v>
      </c>
      <c r="C1401">
        <v>40.15</v>
      </c>
      <c r="D1401">
        <v>40.229999999999997</v>
      </c>
      <c r="E1401">
        <v>39.72</v>
      </c>
      <c r="F1401" t="s">
        <v>2632</v>
      </c>
      <c r="G1401" s="50">
        <v>1.5E-3</v>
      </c>
    </row>
    <row r="1402" spans="1:7" x14ac:dyDescent="0.25">
      <c r="A1402" t="s">
        <v>2633</v>
      </c>
      <c r="B1402">
        <v>39.79</v>
      </c>
      <c r="C1402">
        <v>39.799999999999997</v>
      </c>
      <c r="D1402">
        <v>40.18</v>
      </c>
      <c r="E1402">
        <v>39.659999999999997</v>
      </c>
      <c r="F1402" t="s">
        <v>2634</v>
      </c>
      <c r="G1402" s="50">
        <v>9.9000000000000008E-3</v>
      </c>
    </row>
    <row r="1403" spans="1:7" x14ac:dyDescent="0.25">
      <c r="A1403" t="s">
        <v>2635</v>
      </c>
      <c r="B1403">
        <v>39.4</v>
      </c>
      <c r="C1403">
        <v>38.979999999999997</v>
      </c>
      <c r="D1403">
        <v>39.58</v>
      </c>
      <c r="E1403">
        <v>38.78</v>
      </c>
      <c r="F1403" t="s">
        <v>1635</v>
      </c>
      <c r="G1403" s="50">
        <v>2.1499999999999998E-2</v>
      </c>
    </row>
    <row r="1404" spans="1:7" x14ac:dyDescent="0.25">
      <c r="A1404" t="s">
        <v>2636</v>
      </c>
      <c r="B1404">
        <v>38.57</v>
      </c>
      <c r="C1404">
        <v>38.5</v>
      </c>
      <c r="D1404">
        <v>39.35</v>
      </c>
      <c r="E1404">
        <v>38.4</v>
      </c>
      <c r="F1404" t="s">
        <v>2637</v>
      </c>
      <c r="G1404" s="50">
        <v>0</v>
      </c>
    </row>
    <row r="1405" spans="1:7" x14ac:dyDescent="0.25">
      <c r="A1405" t="s">
        <v>2638</v>
      </c>
      <c r="B1405">
        <v>38.57</v>
      </c>
      <c r="C1405">
        <v>38.479999999999997</v>
      </c>
      <c r="D1405">
        <v>38.79</v>
      </c>
      <c r="E1405">
        <v>38.28</v>
      </c>
      <c r="F1405" t="s">
        <v>2639</v>
      </c>
      <c r="G1405" s="50">
        <v>7.7999999999999996E-3</v>
      </c>
    </row>
    <row r="1406" spans="1:7" x14ac:dyDescent="0.25">
      <c r="A1406" t="s">
        <v>2640</v>
      </c>
      <c r="B1406">
        <v>38.270000000000003</v>
      </c>
      <c r="C1406">
        <v>38.049999999999997</v>
      </c>
      <c r="D1406">
        <v>38.549999999999997</v>
      </c>
      <c r="E1406">
        <v>37.97</v>
      </c>
      <c r="F1406" t="s">
        <v>336</v>
      </c>
      <c r="G1406" s="50">
        <v>-1.37E-2</v>
      </c>
    </row>
    <row r="1407" spans="1:7" x14ac:dyDescent="0.25">
      <c r="A1407" t="s">
        <v>2641</v>
      </c>
      <c r="B1407">
        <v>38.799999999999997</v>
      </c>
      <c r="C1407">
        <v>39.1</v>
      </c>
      <c r="D1407">
        <v>39.31</v>
      </c>
      <c r="E1407">
        <v>38.56</v>
      </c>
      <c r="F1407" t="s">
        <v>2158</v>
      </c>
      <c r="G1407" s="50">
        <v>-1.4999999999999999E-2</v>
      </c>
    </row>
    <row r="1408" spans="1:7" x14ac:dyDescent="0.25">
      <c r="A1408" t="s">
        <v>2642</v>
      </c>
      <c r="B1408">
        <v>39.39</v>
      </c>
      <c r="C1408">
        <v>39.090000000000003</v>
      </c>
      <c r="D1408">
        <v>39.700000000000003</v>
      </c>
      <c r="E1408">
        <v>39.020000000000003</v>
      </c>
      <c r="F1408" t="s">
        <v>2413</v>
      </c>
      <c r="G1408" s="50">
        <v>8.3999999999999995E-3</v>
      </c>
    </row>
    <row r="1409" spans="1:7" x14ac:dyDescent="0.25">
      <c r="A1409" t="s">
        <v>2643</v>
      </c>
      <c r="B1409">
        <v>39.06</v>
      </c>
      <c r="C1409">
        <v>39.07</v>
      </c>
      <c r="D1409">
        <v>39.380000000000003</v>
      </c>
      <c r="E1409">
        <v>38.83</v>
      </c>
      <c r="F1409" t="s">
        <v>2173</v>
      </c>
      <c r="G1409" s="50">
        <v>-1.8E-3</v>
      </c>
    </row>
    <row r="1410" spans="1:7" x14ac:dyDescent="0.25">
      <c r="A1410" t="s">
        <v>2644</v>
      </c>
      <c r="B1410">
        <v>39.130000000000003</v>
      </c>
      <c r="C1410">
        <v>39.200000000000003</v>
      </c>
      <c r="D1410">
        <v>39.29</v>
      </c>
      <c r="E1410">
        <v>38.79</v>
      </c>
      <c r="F1410" t="s">
        <v>2645</v>
      </c>
      <c r="G1410" s="50">
        <v>1.77E-2</v>
      </c>
    </row>
    <row r="1411" spans="1:7" x14ac:dyDescent="0.25">
      <c r="A1411" t="s">
        <v>2646</v>
      </c>
      <c r="B1411">
        <v>38.450000000000003</v>
      </c>
      <c r="C1411">
        <v>37.76</v>
      </c>
      <c r="D1411">
        <v>38.54</v>
      </c>
      <c r="E1411">
        <v>37.619999999999997</v>
      </c>
      <c r="F1411" t="s">
        <v>2647</v>
      </c>
      <c r="G1411" s="50">
        <v>1.5900000000000001E-2</v>
      </c>
    </row>
    <row r="1412" spans="1:7" x14ac:dyDescent="0.25">
      <c r="A1412" t="s">
        <v>2648</v>
      </c>
      <c r="B1412">
        <v>37.85</v>
      </c>
      <c r="C1412">
        <v>38</v>
      </c>
      <c r="D1412">
        <v>38.159999999999997</v>
      </c>
      <c r="E1412">
        <v>37.6</v>
      </c>
      <c r="F1412" t="s">
        <v>2649</v>
      </c>
      <c r="G1412" s="50">
        <v>-1.12E-2</v>
      </c>
    </row>
    <row r="1413" spans="1:7" x14ac:dyDescent="0.25">
      <c r="A1413" t="s">
        <v>2650</v>
      </c>
      <c r="B1413">
        <v>38.28</v>
      </c>
      <c r="C1413">
        <v>39.229999999999997</v>
      </c>
      <c r="D1413">
        <v>39.39</v>
      </c>
      <c r="E1413">
        <v>38.18</v>
      </c>
      <c r="F1413" t="s">
        <v>315</v>
      </c>
      <c r="G1413" s="50">
        <v>-2.64E-2</v>
      </c>
    </row>
    <row r="1414" spans="1:7" x14ac:dyDescent="0.25">
      <c r="A1414" t="s">
        <v>2651</v>
      </c>
      <c r="B1414">
        <v>39.32</v>
      </c>
      <c r="C1414">
        <v>39.18</v>
      </c>
      <c r="D1414">
        <v>39.46</v>
      </c>
      <c r="E1414">
        <v>38.880000000000003</v>
      </c>
      <c r="F1414" t="s">
        <v>2294</v>
      </c>
      <c r="G1414" s="50">
        <v>7.1999999999999998E-3</v>
      </c>
    </row>
    <row r="1415" spans="1:7" x14ac:dyDescent="0.25">
      <c r="A1415" t="s">
        <v>2652</v>
      </c>
      <c r="B1415">
        <v>39.04</v>
      </c>
      <c r="C1415">
        <v>39.31</v>
      </c>
      <c r="D1415">
        <v>39.47</v>
      </c>
      <c r="E1415">
        <v>38.69</v>
      </c>
      <c r="F1415" t="s">
        <v>2653</v>
      </c>
      <c r="G1415" s="50">
        <v>-1.9300000000000001E-2</v>
      </c>
    </row>
    <row r="1416" spans="1:7" x14ac:dyDescent="0.25">
      <c r="A1416" t="s">
        <v>2654</v>
      </c>
      <c r="B1416">
        <v>39.81</v>
      </c>
      <c r="C1416">
        <v>40.18</v>
      </c>
      <c r="D1416">
        <v>40.32</v>
      </c>
      <c r="E1416">
        <v>39.58</v>
      </c>
      <c r="F1416" t="s">
        <v>2655</v>
      </c>
      <c r="G1416" s="50">
        <v>-1.3899999999999999E-2</v>
      </c>
    </row>
    <row r="1417" spans="1:7" x14ac:dyDescent="0.25">
      <c r="A1417" t="s">
        <v>2656</v>
      </c>
      <c r="B1417">
        <v>40.369999999999997</v>
      </c>
      <c r="C1417">
        <v>39.659999999999997</v>
      </c>
      <c r="D1417">
        <v>40.4</v>
      </c>
      <c r="E1417">
        <v>39.51</v>
      </c>
      <c r="F1417" t="s">
        <v>2657</v>
      </c>
      <c r="G1417" s="50">
        <v>-1.1999999999999999E-3</v>
      </c>
    </row>
    <row r="1418" spans="1:7" x14ac:dyDescent="0.25">
      <c r="A1418" t="s">
        <v>2658</v>
      </c>
      <c r="B1418">
        <v>40.42</v>
      </c>
      <c r="C1418">
        <v>40.72</v>
      </c>
      <c r="D1418">
        <v>41.17</v>
      </c>
      <c r="E1418">
        <v>40.39</v>
      </c>
      <c r="F1418" t="s">
        <v>2659</v>
      </c>
      <c r="G1418" s="50">
        <v>-4.4000000000000003E-3</v>
      </c>
    </row>
    <row r="1419" spans="1:7" x14ac:dyDescent="0.25">
      <c r="A1419" t="s">
        <v>2660</v>
      </c>
      <c r="B1419">
        <v>40.6</v>
      </c>
      <c r="C1419">
        <v>40.51</v>
      </c>
      <c r="D1419">
        <v>40.840000000000003</v>
      </c>
      <c r="E1419">
        <v>40.380000000000003</v>
      </c>
      <c r="F1419" t="s">
        <v>2661</v>
      </c>
      <c r="G1419" s="50">
        <v>5.7000000000000002E-3</v>
      </c>
    </row>
    <row r="1420" spans="1:7" x14ac:dyDescent="0.25">
      <c r="A1420" t="s">
        <v>2662</v>
      </c>
      <c r="B1420">
        <v>40.369999999999997</v>
      </c>
      <c r="C1420">
        <v>40.22</v>
      </c>
      <c r="D1420">
        <v>40.64</v>
      </c>
      <c r="E1420">
        <v>40.049999999999997</v>
      </c>
      <c r="F1420" t="s">
        <v>2285</v>
      </c>
      <c r="G1420" s="50">
        <v>1.23E-2</v>
      </c>
    </row>
    <row r="1421" spans="1:7" x14ac:dyDescent="0.25">
      <c r="A1421" t="s">
        <v>2663</v>
      </c>
      <c r="B1421">
        <v>39.880000000000003</v>
      </c>
      <c r="C1421">
        <v>39.770000000000003</v>
      </c>
      <c r="D1421">
        <v>40.049999999999997</v>
      </c>
      <c r="E1421">
        <v>39.520000000000003</v>
      </c>
      <c r="F1421" t="s">
        <v>1713</v>
      </c>
      <c r="G1421" s="50">
        <v>7.7999999999999996E-3</v>
      </c>
    </row>
    <row r="1422" spans="1:7" x14ac:dyDescent="0.25">
      <c r="A1422" t="s">
        <v>2664</v>
      </c>
      <c r="B1422">
        <v>39.57</v>
      </c>
      <c r="C1422">
        <v>40.03</v>
      </c>
      <c r="D1422">
        <v>40.630000000000003</v>
      </c>
      <c r="E1422">
        <v>39.42</v>
      </c>
      <c r="F1422" t="s">
        <v>285</v>
      </c>
      <c r="G1422" s="50">
        <v>-1.4E-2</v>
      </c>
    </row>
    <row r="1423" spans="1:7" x14ac:dyDescent="0.25">
      <c r="A1423" t="s">
        <v>2665</v>
      </c>
      <c r="B1423">
        <v>40.130000000000003</v>
      </c>
      <c r="C1423">
        <v>40.1</v>
      </c>
      <c r="D1423">
        <v>40.479999999999997</v>
      </c>
      <c r="E1423">
        <v>39.72</v>
      </c>
      <c r="F1423" t="s">
        <v>2666</v>
      </c>
      <c r="G1423" s="50">
        <v>3.3E-3</v>
      </c>
    </row>
    <row r="1424" spans="1:7" x14ac:dyDescent="0.25">
      <c r="A1424" t="s">
        <v>2667</v>
      </c>
      <c r="B1424">
        <v>40</v>
      </c>
      <c r="C1424">
        <v>40.049999999999997</v>
      </c>
      <c r="D1424">
        <v>40.61</v>
      </c>
      <c r="E1424">
        <v>39.97</v>
      </c>
      <c r="F1424" t="s">
        <v>2668</v>
      </c>
      <c r="G1424" s="50">
        <v>-2.01E-2</v>
      </c>
    </row>
    <row r="1425" spans="1:7" x14ac:dyDescent="0.25">
      <c r="A1425" t="s">
        <v>2669</v>
      </c>
      <c r="B1425">
        <v>40.82</v>
      </c>
      <c r="C1425">
        <v>41.2</v>
      </c>
      <c r="D1425">
        <v>41.43</v>
      </c>
      <c r="E1425">
        <v>40.44</v>
      </c>
      <c r="F1425" t="s">
        <v>2670</v>
      </c>
      <c r="G1425" s="50">
        <v>-3.2000000000000002E-3</v>
      </c>
    </row>
    <row r="1426" spans="1:7" x14ac:dyDescent="0.25">
      <c r="A1426" t="s">
        <v>2671</v>
      </c>
      <c r="B1426">
        <v>40.950000000000003</v>
      </c>
      <c r="C1426">
        <v>41.75</v>
      </c>
      <c r="D1426">
        <v>41.83</v>
      </c>
      <c r="E1426">
        <v>40.67</v>
      </c>
      <c r="F1426" t="s">
        <v>2672</v>
      </c>
      <c r="G1426" s="50">
        <v>-3.4700000000000002E-2</v>
      </c>
    </row>
    <row r="1427" spans="1:7" x14ac:dyDescent="0.25">
      <c r="A1427" t="s">
        <v>2673</v>
      </c>
      <c r="B1427">
        <v>42.42</v>
      </c>
      <c r="C1427">
        <v>42.04</v>
      </c>
      <c r="D1427">
        <v>42.69</v>
      </c>
      <c r="E1427">
        <v>42.03</v>
      </c>
      <c r="F1427" t="s">
        <v>1986</v>
      </c>
      <c r="G1427" s="50">
        <v>9.2999999999999992E-3</v>
      </c>
    </row>
    <row r="1428" spans="1:7" x14ac:dyDescent="0.25">
      <c r="A1428" t="s">
        <v>2674</v>
      </c>
      <c r="B1428">
        <v>42.03</v>
      </c>
      <c r="C1428">
        <v>42</v>
      </c>
      <c r="D1428">
        <v>42.07</v>
      </c>
      <c r="E1428">
        <v>41.5</v>
      </c>
      <c r="F1428" t="s">
        <v>2675</v>
      </c>
      <c r="G1428" s="50">
        <v>-4.4999999999999997E-3</v>
      </c>
    </row>
    <row r="1429" spans="1:7" x14ac:dyDescent="0.25">
      <c r="A1429" t="s">
        <v>2676</v>
      </c>
      <c r="B1429">
        <v>42.22</v>
      </c>
      <c r="C1429">
        <v>42.1</v>
      </c>
      <c r="D1429">
        <v>42.35</v>
      </c>
      <c r="E1429">
        <v>41.94</v>
      </c>
      <c r="F1429" t="s">
        <v>433</v>
      </c>
      <c r="G1429" s="50">
        <v>5.0000000000000001E-4</v>
      </c>
    </row>
    <row r="1430" spans="1:7" x14ac:dyDescent="0.25">
      <c r="A1430" t="s">
        <v>2677</v>
      </c>
      <c r="B1430">
        <v>42.2</v>
      </c>
      <c r="C1430">
        <v>42.14</v>
      </c>
      <c r="D1430">
        <v>42.3</v>
      </c>
      <c r="E1430">
        <v>42</v>
      </c>
      <c r="F1430" t="s">
        <v>2678</v>
      </c>
      <c r="G1430" s="50">
        <v>-2.0999999999999999E-3</v>
      </c>
    </row>
    <row r="1431" spans="1:7" x14ac:dyDescent="0.25">
      <c r="A1431" t="s">
        <v>2679</v>
      </c>
      <c r="B1431">
        <v>42.29</v>
      </c>
      <c r="C1431">
        <v>42.4</v>
      </c>
      <c r="D1431">
        <v>42.47</v>
      </c>
      <c r="E1431">
        <v>42.02</v>
      </c>
      <c r="F1431" t="s">
        <v>2680</v>
      </c>
      <c r="G1431" s="50">
        <v>8.9999999999999998E-4</v>
      </c>
    </row>
    <row r="1432" spans="1:7" x14ac:dyDescent="0.25">
      <c r="A1432" t="s">
        <v>2681</v>
      </c>
      <c r="B1432">
        <v>42.25</v>
      </c>
      <c r="C1432">
        <v>41.65</v>
      </c>
      <c r="D1432">
        <v>42.28</v>
      </c>
      <c r="E1432">
        <v>41.45</v>
      </c>
      <c r="F1432" t="s">
        <v>2682</v>
      </c>
      <c r="G1432" s="50">
        <v>6.8999999999999999E-3</v>
      </c>
    </row>
    <row r="1433" spans="1:7" x14ac:dyDescent="0.25">
      <c r="A1433" t="s">
        <v>2683</v>
      </c>
      <c r="B1433">
        <v>41.96</v>
      </c>
      <c r="C1433">
        <v>42.23</v>
      </c>
      <c r="D1433">
        <v>42.3</v>
      </c>
      <c r="E1433">
        <v>41.78</v>
      </c>
      <c r="F1433" t="s">
        <v>2684</v>
      </c>
      <c r="G1433" s="50">
        <v>-5.1999999999999998E-3</v>
      </c>
    </row>
    <row r="1434" spans="1:7" x14ac:dyDescent="0.25">
      <c r="A1434" t="s">
        <v>2685</v>
      </c>
      <c r="B1434">
        <v>42.18</v>
      </c>
      <c r="C1434">
        <v>42.07</v>
      </c>
      <c r="D1434">
        <v>42.47</v>
      </c>
      <c r="E1434">
        <v>42</v>
      </c>
      <c r="F1434" t="s">
        <v>426</v>
      </c>
      <c r="G1434" s="50">
        <v>-1.6999999999999999E-3</v>
      </c>
    </row>
    <row r="1435" spans="1:7" x14ac:dyDescent="0.25">
      <c r="A1435" t="s">
        <v>2686</v>
      </c>
      <c r="B1435">
        <v>42.25</v>
      </c>
      <c r="C1435">
        <v>42.05</v>
      </c>
      <c r="D1435">
        <v>42.3</v>
      </c>
      <c r="E1435">
        <v>41.81</v>
      </c>
      <c r="F1435" t="s">
        <v>1931</v>
      </c>
      <c r="G1435" s="50">
        <v>-1.4E-3</v>
      </c>
    </row>
    <row r="1436" spans="1:7" x14ac:dyDescent="0.25">
      <c r="A1436" t="s">
        <v>2687</v>
      </c>
      <c r="B1436">
        <v>42.31</v>
      </c>
      <c r="C1436">
        <v>41.87</v>
      </c>
      <c r="D1436">
        <v>42.42</v>
      </c>
      <c r="E1436">
        <v>41.73</v>
      </c>
      <c r="F1436" t="s">
        <v>340</v>
      </c>
      <c r="G1436" s="50">
        <v>1.0500000000000001E-2</v>
      </c>
    </row>
    <row r="1437" spans="1:7" x14ac:dyDescent="0.25">
      <c r="A1437" t="s">
        <v>2688</v>
      </c>
      <c r="B1437">
        <v>41.87</v>
      </c>
      <c r="C1437">
        <v>42.1</v>
      </c>
      <c r="D1437">
        <v>42.35</v>
      </c>
      <c r="E1437">
        <v>41.78</v>
      </c>
      <c r="F1437" t="s">
        <v>2689</v>
      </c>
      <c r="G1437" s="50">
        <v>-2.5999999999999999E-3</v>
      </c>
    </row>
    <row r="1438" spans="1:7" x14ac:dyDescent="0.25">
      <c r="A1438" t="s">
        <v>2690</v>
      </c>
      <c r="B1438">
        <v>41.98</v>
      </c>
      <c r="C1438">
        <v>42.13</v>
      </c>
      <c r="D1438">
        <v>42.29</v>
      </c>
      <c r="E1438">
        <v>41.81</v>
      </c>
      <c r="F1438" t="s">
        <v>2675</v>
      </c>
      <c r="G1438" s="50">
        <v>-2.5999999999999999E-3</v>
      </c>
    </row>
    <row r="1439" spans="1:7" x14ac:dyDescent="0.25">
      <c r="A1439" t="s">
        <v>2691</v>
      </c>
      <c r="B1439">
        <v>42.09</v>
      </c>
      <c r="C1439">
        <v>42.55</v>
      </c>
      <c r="D1439">
        <v>42.76</v>
      </c>
      <c r="E1439">
        <v>41.86</v>
      </c>
      <c r="F1439" t="s">
        <v>2692</v>
      </c>
      <c r="G1439" s="50">
        <v>-9.5999999999999992E-3</v>
      </c>
    </row>
    <row r="1440" spans="1:7" x14ac:dyDescent="0.25">
      <c r="A1440" t="s">
        <v>2693</v>
      </c>
      <c r="B1440">
        <v>42.5</v>
      </c>
      <c r="C1440">
        <v>42.49</v>
      </c>
      <c r="D1440">
        <v>42.88</v>
      </c>
      <c r="E1440">
        <v>42.27</v>
      </c>
      <c r="F1440" t="s">
        <v>2694</v>
      </c>
      <c r="G1440" s="50">
        <v>-5.1000000000000004E-3</v>
      </c>
    </row>
    <row r="1441" spans="1:7" x14ac:dyDescent="0.25">
      <c r="A1441" t="s">
        <v>2695</v>
      </c>
      <c r="B1441">
        <v>42.72</v>
      </c>
      <c r="C1441">
        <v>43.79</v>
      </c>
      <c r="D1441">
        <v>43.84</v>
      </c>
      <c r="E1441">
        <v>42.38</v>
      </c>
      <c r="F1441" t="s">
        <v>2696</v>
      </c>
      <c r="G1441" s="50">
        <v>-0.1119</v>
      </c>
    </row>
    <row r="1442" spans="1:7" x14ac:dyDescent="0.25">
      <c r="A1442" t="s">
        <v>2697</v>
      </c>
      <c r="B1442">
        <v>48.1</v>
      </c>
      <c r="C1442">
        <v>47.28</v>
      </c>
      <c r="D1442">
        <v>48.13</v>
      </c>
      <c r="E1442">
        <v>47.27</v>
      </c>
      <c r="F1442" t="s">
        <v>2698</v>
      </c>
      <c r="G1442" s="50">
        <v>1.9300000000000001E-2</v>
      </c>
    </row>
    <row r="1443" spans="1:7" x14ac:dyDescent="0.25">
      <c r="A1443" t="s">
        <v>2699</v>
      </c>
      <c r="B1443">
        <v>47.19</v>
      </c>
      <c r="C1443">
        <v>47.9</v>
      </c>
      <c r="D1443">
        <v>48.45</v>
      </c>
      <c r="E1443">
        <v>47.09</v>
      </c>
      <c r="F1443" t="s">
        <v>872</v>
      </c>
      <c r="G1443" s="50">
        <v>-1.1299999999999999E-2</v>
      </c>
    </row>
    <row r="1444" spans="1:7" x14ac:dyDescent="0.25">
      <c r="A1444" t="s">
        <v>2700</v>
      </c>
      <c r="B1444">
        <v>47.73</v>
      </c>
      <c r="C1444">
        <v>47.16</v>
      </c>
      <c r="D1444">
        <v>48</v>
      </c>
      <c r="E1444">
        <v>47.16</v>
      </c>
      <c r="F1444" t="s">
        <v>696</v>
      </c>
      <c r="G1444" s="50">
        <v>6.3E-3</v>
      </c>
    </row>
    <row r="1445" spans="1:7" x14ac:dyDescent="0.25">
      <c r="A1445" t="s">
        <v>2701</v>
      </c>
      <c r="B1445">
        <v>47.43</v>
      </c>
      <c r="C1445">
        <v>47.33</v>
      </c>
      <c r="D1445">
        <v>47.6</v>
      </c>
      <c r="E1445">
        <v>47.03</v>
      </c>
      <c r="F1445" t="s">
        <v>604</v>
      </c>
      <c r="G1445" s="50">
        <v>-7.1000000000000004E-3</v>
      </c>
    </row>
    <row r="1446" spans="1:7" x14ac:dyDescent="0.25">
      <c r="A1446" t="s">
        <v>2702</v>
      </c>
      <c r="B1446">
        <v>47.77</v>
      </c>
      <c r="C1446">
        <v>47.23</v>
      </c>
      <c r="D1446">
        <v>47.83</v>
      </c>
      <c r="E1446">
        <v>47.1</v>
      </c>
      <c r="F1446" t="s">
        <v>2703</v>
      </c>
      <c r="G1446" s="50">
        <v>9.2999999999999992E-3</v>
      </c>
    </row>
    <row r="1447" spans="1:7" x14ac:dyDescent="0.25">
      <c r="A1447" t="s">
        <v>2704</v>
      </c>
      <c r="B1447">
        <v>47.33</v>
      </c>
      <c r="C1447">
        <v>47.67</v>
      </c>
      <c r="D1447">
        <v>47.73</v>
      </c>
      <c r="E1447">
        <v>47.05</v>
      </c>
      <c r="F1447" t="s">
        <v>496</v>
      </c>
      <c r="G1447" s="50">
        <v>-7.1000000000000004E-3</v>
      </c>
    </row>
    <row r="1448" spans="1:7" x14ac:dyDescent="0.25">
      <c r="A1448" t="s">
        <v>2705</v>
      </c>
      <c r="B1448">
        <v>47.67</v>
      </c>
      <c r="C1448">
        <v>47.01</v>
      </c>
      <c r="D1448">
        <v>47.67</v>
      </c>
      <c r="E1448">
        <v>46.91</v>
      </c>
      <c r="F1448" t="s">
        <v>2706</v>
      </c>
      <c r="G1448" s="50">
        <v>1.0800000000000001E-2</v>
      </c>
    </row>
    <row r="1449" spans="1:7" x14ac:dyDescent="0.25">
      <c r="A1449" t="s">
        <v>2707</v>
      </c>
      <c r="B1449">
        <v>47.16</v>
      </c>
      <c r="C1449">
        <v>47.14</v>
      </c>
      <c r="D1449">
        <v>47.35</v>
      </c>
      <c r="E1449">
        <v>46.68</v>
      </c>
      <c r="F1449" t="s">
        <v>2249</v>
      </c>
      <c r="G1449" s="50">
        <v>1.2999999999999999E-3</v>
      </c>
    </row>
    <row r="1450" spans="1:7" x14ac:dyDescent="0.25">
      <c r="A1450" s="38" t="s">
        <v>2708</v>
      </c>
      <c r="B1450" s="38">
        <v>47.1</v>
      </c>
      <c r="C1450">
        <v>46.39</v>
      </c>
      <c r="D1450">
        <v>47.11</v>
      </c>
      <c r="E1450">
        <v>45.86</v>
      </c>
      <c r="F1450" t="s">
        <v>2709</v>
      </c>
      <c r="G1450" s="50">
        <v>1.4200000000000001E-2</v>
      </c>
    </row>
    <row r="1451" spans="1:7" x14ac:dyDescent="0.25">
      <c r="A1451" t="s">
        <v>2710</v>
      </c>
      <c r="B1451">
        <v>46.44</v>
      </c>
      <c r="C1451">
        <v>46.13</v>
      </c>
      <c r="D1451">
        <v>46.46</v>
      </c>
      <c r="E1451">
        <v>45.38</v>
      </c>
      <c r="F1451" t="s">
        <v>2711</v>
      </c>
      <c r="G1451" s="50">
        <v>-5.7999999999999996E-3</v>
      </c>
    </row>
    <row r="1452" spans="1:7" x14ac:dyDescent="0.25">
      <c r="A1452" t="s">
        <v>2712</v>
      </c>
      <c r="B1452">
        <v>46.71</v>
      </c>
      <c r="C1452">
        <v>46.4</v>
      </c>
      <c r="D1452">
        <v>46.88</v>
      </c>
      <c r="E1452">
        <v>46.37</v>
      </c>
      <c r="F1452" t="s">
        <v>913</v>
      </c>
      <c r="G1452" s="50">
        <v>9.2999999999999992E-3</v>
      </c>
    </row>
    <row r="1453" spans="1:7" x14ac:dyDescent="0.25">
      <c r="A1453" t="s">
        <v>2713</v>
      </c>
      <c r="B1453">
        <v>46.28</v>
      </c>
      <c r="C1453">
        <v>46.98</v>
      </c>
      <c r="D1453">
        <v>47.08</v>
      </c>
      <c r="E1453">
        <v>46.21</v>
      </c>
      <c r="F1453" t="s">
        <v>686</v>
      </c>
      <c r="G1453" s="50">
        <v>-1.9300000000000001E-2</v>
      </c>
    </row>
    <row r="1454" spans="1:7" x14ac:dyDescent="0.25">
      <c r="A1454" t="s">
        <v>2714</v>
      </c>
      <c r="B1454">
        <v>47.19</v>
      </c>
      <c r="C1454">
        <v>46.66</v>
      </c>
      <c r="D1454">
        <v>47.26</v>
      </c>
      <c r="E1454">
        <v>46.15</v>
      </c>
      <c r="F1454" t="s">
        <v>735</v>
      </c>
      <c r="G1454" s="50">
        <v>1.7000000000000001E-2</v>
      </c>
    </row>
    <row r="1455" spans="1:7" x14ac:dyDescent="0.25">
      <c r="A1455" t="s">
        <v>2715</v>
      </c>
      <c r="B1455">
        <v>46.4</v>
      </c>
      <c r="C1455">
        <v>47.49</v>
      </c>
      <c r="D1455">
        <v>47.64</v>
      </c>
      <c r="E1455">
        <v>46.11</v>
      </c>
      <c r="F1455" t="s">
        <v>2716</v>
      </c>
      <c r="G1455" s="50">
        <v>-2.1299999999999999E-2</v>
      </c>
    </row>
    <row r="1456" spans="1:7" x14ac:dyDescent="0.25">
      <c r="A1456" t="s">
        <v>2717</v>
      </c>
      <c r="B1456">
        <v>47.41</v>
      </c>
      <c r="C1456">
        <v>46.98</v>
      </c>
      <c r="D1456">
        <v>47.7</v>
      </c>
      <c r="E1456">
        <v>46.68</v>
      </c>
      <c r="F1456" t="s">
        <v>2718</v>
      </c>
      <c r="G1456" s="50">
        <v>1.09E-2</v>
      </c>
    </row>
    <row r="1457" spans="1:7" x14ac:dyDescent="0.25">
      <c r="A1457" t="s">
        <v>2719</v>
      </c>
      <c r="B1457">
        <v>46.9</v>
      </c>
      <c r="C1457">
        <v>47.02</v>
      </c>
      <c r="D1457">
        <v>47.11</v>
      </c>
      <c r="E1457">
        <v>46.53</v>
      </c>
      <c r="F1457" t="s">
        <v>2720</v>
      </c>
      <c r="G1457" s="50">
        <v>-2.5999999999999999E-3</v>
      </c>
    </row>
    <row r="1458" spans="1:7" x14ac:dyDescent="0.25">
      <c r="A1458" t="s">
        <v>2721</v>
      </c>
      <c r="B1458">
        <v>47.02</v>
      </c>
      <c r="C1458">
        <v>47.28</v>
      </c>
      <c r="D1458">
        <v>47.33</v>
      </c>
      <c r="E1458">
        <v>46.85</v>
      </c>
      <c r="F1458" t="s">
        <v>2722</v>
      </c>
      <c r="G1458" s="50">
        <v>1.1000000000000001E-3</v>
      </c>
    </row>
    <row r="1459" spans="1:7" x14ac:dyDescent="0.25">
      <c r="A1459" t="s">
        <v>2723</v>
      </c>
      <c r="B1459">
        <v>46.97</v>
      </c>
      <c r="C1459">
        <v>46.67</v>
      </c>
      <c r="D1459">
        <v>47.1</v>
      </c>
      <c r="E1459">
        <v>46.26</v>
      </c>
      <c r="F1459" t="s">
        <v>451</v>
      </c>
      <c r="G1459" s="50">
        <v>4.7000000000000002E-3</v>
      </c>
    </row>
    <row r="1460" spans="1:7" x14ac:dyDescent="0.25">
      <c r="A1460" t="s">
        <v>2724</v>
      </c>
      <c r="B1460">
        <v>46.75</v>
      </c>
      <c r="C1460">
        <v>46.04</v>
      </c>
      <c r="D1460">
        <v>46.93</v>
      </c>
      <c r="E1460">
        <v>45.88</v>
      </c>
      <c r="F1460" t="s">
        <v>323</v>
      </c>
      <c r="G1460" s="50">
        <v>2.12E-2</v>
      </c>
    </row>
    <row r="1461" spans="1:7" x14ac:dyDescent="0.25">
      <c r="A1461" t="s">
        <v>2725</v>
      </c>
      <c r="B1461">
        <v>45.78</v>
      </c>
      <c r="C1461">
        <v>45.7</v>
      </c>
      <c r="D1461">
        <v>45.83</v>
      </c>
      <c r="E1461">
        <v>45.2</v>
      </c>
      <c r="F1461" t="s">
        <v>2709</v>
      </c>
      <c r="G1461" s="50">
        <v>-1.34E-2</v>
      </c>
    </row>
    <row r="1462" spans="1:7" x14ac:dyDescent="0.25">
      <c r="A1462" t="s">
        <v>2726</v>
      </c>
      <c r="B1462">
        <v>46.4</v>
      </c>
      <c r="C1462">
        <v>46.5</v>
      </c>
      <c r="D1462">
        <v>46.83</v>
      </c>
      <c r="E1462">
        <v>45.98</v>
      </c>
      <c r="F1462" t="s">
        <v>1197</v>
      </c>
      <c r="G1462" s="50">
        <v>3.0000000000000001E-3</v>
      </c>
    </row>
    <row r="1463" spans="1:7" x14ac:dyDescent="0.25">
      <c r="A1463" t="s">
        <v>2727</v>
      </c>
      <c r="B1463">
        <v>46.26</v>
      </c>
      <c r="C1463">
        <v>45.49</v>
      </c>
      <c r="D1463">
        <v>46.5</v>
      </c>
      <c r="E1463">
        <v>45.41</v>
      </c>
      <c r="F1463" t="s">
        <v>2728</v>
      </c>
      <c r="G1463" s="50">
        <v>7.1999999999999998E-3</v>
      </c>
    </row>
    <row r="1464" spans="1:7" x14ac:dyDescent="0.25">
      <c r="A1464" t="s">
        <v>2729</v>
      </c>
      <c r="B1464">
        <v>45.93</v>
      </c>
      <c r="C1464">
        <v>46.87</v>
      </c>
      <c r="D1464">
        <v>46.99</v>
      </c>
      <c r="E1464">
        <v>45.78</v>
      </c>
      <c r="F1464" t="s">
        <v>642</v>
      </c>
      <c r="G1464" s="50">
        <v>-1.5599999999999999E-2</v>
      </c>
    </row>
    <row r="1465" spans="1:7" x14ac:dyDescent="0.25">
      <c r="A1465" t="s">
        <v>2730</v>
      </c>
      <c r="B1465">
        <v>46.66</v>
      </c>
      <c r="C1465">
        <v>46.73</v>
      </c>
      <c r="D1465">
        <v>46.92</v>
      </c>
      <c r="E1465">
        <v>46.24</v>
      </c>
      <c r="F1465" t="s">
        <v>1770</v>
      </c>
      <c r="G1465" s="50">
        <v>-8.9999999999999998E-4</v>
      </c>
    </row>
    <row r="1466" spans="1:7" x14ac:dyDescent="0.25">
      <c r="A1466" t="s">
        <v>2731</v>
      </c>
      <c r="B1466">
        <v>46.7</v>
      </c>
      <c r="C1466">
        <v>46.6</v>
      </c>
      <c r="D1466">
        <v>47.2</v>
      </c>
      <c r="E1466">
        <v>46.22</v>
      </c>
      <c r="F1466" t="s">
        <v>463</v>
      </c>
      <c r="G1466" s="50">
        <v>1.9400000000000001E-2</v>
      </c>
    </row>
    <row r="1467" spans="1:7" x14ac:dyDescent="0.25">
      <c r="A1467" t="s">
        <v>2732</v>
      </c>
      <c r="B1467">
        <v>45.81</v>
      </c>
      <c r="C1467">
        <v>45.59</v>
      </c>
      <c r="D1467">
        <v>46.07</v>
      </c>
      <c r="E1467">
        <v>45.32</v>
      </c>
      <c r="F1467" t="s">
        <v>1221</v>
      </c>
      <c r="G1467" s="50">
        <v>3.8999999999999998E-3</v>
      </c>
    </row>
    <row r="1468" spans="1:7" x14ac:dyDescent="0.25">
      <c r="A1468" t="s">
        <v>2733</v>
      </c>
      <c r="B1468">
        <v>45.63</v>
      </c>
      <c r="C1468">
        <v>46.12</v>
      </c>
      <c r="D1468">
        <v>46.29</v>
      </c>
      <c r="E1468">
        <v>45.56</v>
      </c>
      <c r="F1468" t="s">
        <v>2156</v>
      </c>
      <c r="G1468" s="50">
        <v>-1.7000000000000001E-2</v>
      </c>
    </row>
    <row r="1469" spans="1:7" x14ac:dyDescent="0.25">
      <c r="A1469" t="s">
        <v>2734</v>
      </c>
      <c r="B1469">
        <v>46.42</v>
      </c>
      <c r="C1469">
        <v>46.07</v>
      </c>
      <c r="D1469">
        <v>46.49</v>
      </c>
      <c r="E1469">
        <v>45.87</v>
      </c>
      <c r="F1469" t="s">
        <v>623</v>
      </c>
      <c r="G1469" s="50">
        <v>1.7299999999999999E-2</v>
      </c>
    </row>
    <row r="1470" spans="1:7" x14ac:dyDescent="0.25">
      <c r="A1470" t="s">
        <v>2735</v>
      </c>
      <c r="B1470">
        <v>45.63</v>
      </c>
      <c r="C1470">
        <v>46.07</v>
      </c>
      <c r="D1470">
        <v>46.22</v>
      </c>
      <c r="E1470">
        <v>45.48</v>
      </c>
      <c r="F1470" t="s">
        <v>2736</v>
      </c>
      <c r="G1470" s="50">
        <v>-9.2999999999999992E-3</v>
      </c>
    </row>
    <row r="1471" spans="1:7" x14ac:dyDescent="0.25">
      <c r="A1471" t="s">
        <v>2737</v>
      </c>
      <c r="B1471">
        <v>46.06</v>
      </c>
      <c r="C1471">
        <v>46.54</v>
      </c>
      <c r="D1471">
        <v>46.72</v>
      </c>
      <c r="E1471">
        <v>46</v>
      </c>
      <c r="F1471" t="s">
        <v>2370</v>
      </c>
      <c r="G1471" s="50">
        <v>-1.24E-2</v>
      </c>
    </row>
    <row r="1472" spans="1:7" x14ac:dyDescent="0.25">
      <c r="A1472" t="s">
        <v>2738</v>
      </c>
      <c r="B1472">
        <v>46.64</v>
      </c>
      <c r="C1472">
        <v>46.15</v>
      </c>
      <c r="D1472">
        <v>47.01</v>
      </c>
      <c r="E1472">
        <v>46.09</v>
      </c>
      <c r="F1472" t="s">
        <v>2739</v>
      </c>
      <c r="G1472" s="50">
        <v>1.06E-2</v>
      </c>
    </row>
    <row r="1473" spans="1:7" x14ac:dyDescent="0.25">
      <c r="A1473" t="s">
        <v>2740</v>
      </c>
      <c r="B1473">
        <v>46.15</v>
      </c>
      <c r="C1473">
        <v>46.34</v>
      </c>
      <c r="D1473">
        <v>46.45</v>
      </c>
      <c r="E1473">
        <v>45.67</v>
      </c>
      <c r="F1473" t="s">
        <v>855</v>
      </c>
      <c r="G1473" s="50">
        <v>-3.5000000000000001E-3</v>
      </c>
    </row>
    <row r="1474" spans="1:7" x14ac:dyDescent="0.25">
      <c r="A1474" t="s">
        <v>2741</v>
      </c>
      <c r="B1474">
        <v>46.31</v>
      </c>
      <c r="C1474">
        <v>45.12</v>
      </c>
      <c r="D1474">
        <v>46.51</v>
      </c>
      <c r="E1474">
        <v>44.63</v>
      </c>
      <c r="F1474" t="s">
        <v>2742</v>
      </c>
      <c r="G1474" s="50">
        <v>2.41E-2</v>
      </c>
    </row>
    <row r="1475" spans="1:7" x14ac:dyDescent="0.25">
      <c r="A1475" t="s">
        <v>2743</v>
      </c>
      <c r="B1475">
        <v>45.22</v>
      </c>
      <c r="C1475">
        <v>44.77</v>
      </c>
      <c r="D1475">
        <v>45.32</v>
      </c>
      <c r="E1475">
        <v>44.2</v>
      </c>
      <c r="F1475" t="s">
        <v>2168</v>
      </c>
      <c r="G1475" s="50">
        <v>1.0500000000000001E-2</v>
      </c>
    </row>
    <row r="1476" spans="1:7" x14ac:dyDescent="0.25">
      <c r="A1476" t="s">
        <v>2744</v>
      </c>
      <c r="B1476">
        <v>44.75</v>
      </c>
      <c r="C1476">
        <v>45.29</v>
      </c>
      <c r="D1476">
        <v>45.47</v>
      </c>
      <c r="E1476">
        <v>44.39</v>
      </c>
      <c r="F1476" t="s">
        <v>2745</v>
      </c>
      <c r="G1476" s="50">
        <v>-1.5800000000000002E-2</v>
      </c>
    </row>
    <row r="1477" spans="1:7" x14ac:dyDescent="0.25">
      <c r="A1477" t="s">
        <v>2746</v>
      </c>
      <c r="B1477">
        <v>45.47</v>
      </c>
      <c r="C1477">
        <v>45.92</v>
      </c>
      <c r="D1477">
        <v>46.15</v>
      </c>
      <c r="E1477">
        <v>45.32</v>
      </c>
      <c r="F1477" t="s">
        <v>1842</v>
      </c>
      <c r="G1477" s="50">
        <v>6.8999999999999999E-3</v>
      </c>
    </row>
    <row r="1478" spans="1:7" x14ac:dyDescent="0.25">
      <c r="A1478" t="s">
        <v>2747</v>
      </c>
      <c r="B1478">
        <v>45.16</v>
      </c>
      <c r="C1478">
        <v>45.11</v>
      </c>
      <c r="D1478">
        <v>45.46</v>
      </c>
      <c r="E1478">
        <v>44.8</v>
      </c>
      <c r="F1478" t="s">
        <v>2748</v>
      </c>
      <c r="G1478" s="50">
        <v>-3.5000000000000001E-3</v>
      </c>
    </row>
    <row r="1479" spans="1:7" x14ac:dyDescent="0.25">
      <c r="A1479" t="s">
        <v>2749</v>
      </c>
      <c r="B1479">
        <v>45.32</v>
      </c>
      <c r="C1479">
        <v>46.26</v>
      </c>
      <c r="D1479">
        <v>46.51</v>
      </c>
      <c r="E1479">
        <v>45.05</v>
      </c>
      <c r="F1479" t="s">
        <v>2750</v>
      </c>
      <c r="G1479" s="50">
        <v>-1.11E-2</v>
      </c>
    </row>
    <row r="1480" spans="1:7" x14ac:dyDescent="0.25">
      <c r="A1480" t="s">
        <v>2751</v>
      </c>
      <c r="B1480">
        <v>45.83</v>
      </c>
      <c r="C1480">
        <v>45.79</v>
      </c>
      <c r="D1480">
        <v>46.05</v>
      </c>
      <c r="E1480">
        <v>45.35</v>
      </c>
      <c r="F1480" t="s">
        <v>994</v>
      </c>
      <c r="G1480" s="50">
        <v>-7.4000000000000003E-3</v>
      </c>
    </row>
    <row r="1481" spans="1:7" x14ac:dyDescent="0.25">
      <c r="A1481" t="s">
        <v>2752</v>
      </c>
      <c r="B1481">
        <v>46.17</v>
      </c>
      <c r="C1481">
        <v>46.75</v>
      </c>
      <c r="D1481">
        <v>46.82</v>
      </c>
      <c r="E1481">
        <v>45.9</v>
      </c>
      <c r="F1481" t="s">
        <v>540</v>
      </c>
      <c r="G1481" s="50">
        <v>-6.7000000000000002E-3</v>
      </c>
    </row>
    <row r="1482" spans="1:7" x14ac:dyDescent="0.25">
      <c r="A1482" t="s">
        <v>2753</v>
      </c>
      <c r="B1482">
        <v>46.48</v>
      </c>
      <c r="C1482">
        <v>47.41</v>
      </c>
      <c r="D1482">
        <v>47.49</v>
      </c>
      <c r="E1482">
        <v>45.91</v>
      </c>
      <c r="F1482" t="s">
        <v>2754</v>
      </c>
      <c r="G1482" s="50">
        <v>2.4899999999999999E-2</v>
      </c>
    </row>
    <row r="1483" spans="1:7" x14ac:dyDescent="0.25">
      <c r="A1483" t="s">
        <v>2755</v>
      </c>
      <c r="B1483">
        <v>45.35</v>
      </c>
      <c r="C1483">
        <v>44.12</v>
      </c>
      <c r="D1483">
        <v>45.76</v>
      </c>
      <c r="E1483">
        <v>43.93</v>
      </c>
      <c r="F1483" t="s">
        <v>433</v>
      </c>
      <c r="G1483" s="50">
        <v>6.1999999999999998E-3</v>
      </c>
    </row>
    <row r="1484" spans="1:7" x14ac:dyDescent="0.25">
      <c r="A1484" t="s">
        <v>2756</v>
      </c>
      <c r="B1484">
        <v>45.07</v>
      </c>
      <c r="C1484">
        <v>44.96</v>
      </c>
      <c r="D1484">
        <v>45.86</v>
      </c>
      <c r="E1484">
        <v>44.11</v>
      </c>
      <c r="F1484" t="s">
        <v>2757</v>
      </c>
      <c r="G1484" s="50">
        <v>3.2099999999999997E-2</v>
      </c>
    </row>
    <row r="1485" spans="1:7" x14ac:dyDescent="0.25">
      <c r="A1485" t="s">
        <v>2758</v>
      </c>
      <c r="B1485">
        <v>43.67</v>
      </c>
      <c r="C1485">
        <v>46.99</v>
      </c>
      <c r="D1485">
        <v>47</v>
      </c>
      <c r="E1485">
        <v>43.64</v>
      </c>
      <c r="F1485" t="s">
        <v>2759</v>
      </c>
      <c r="G1485" s="50">
        <v>-7.9100000000000004E-2</v>
      </c>
    </row>
    <row r="1486" spans="1:7" x14ac:dyDescent="0.25">
      <c r="A1486" t="s">
        <v>2760</v>
      </c>
      <c r="B1486">
        <v>47.42</v>
      </c>
      <c r="C1486">
        <v>47.66</v>
      </c>
      <c r="D1486">
        <v>47.83</v>
      </c>
      <c r="E1486">
        <v>47.12</v>
      </c>
      <c r="F1486" t="s">
        <v>1080</v>
      </c>
      <c r="G1486" s="50">
        <v>-1.3100000000000001E-2</v>
      </c>
    </row>
    <row r="1487" spans="1:7" x14ac:dyDescent="0.25">
      <c r="A1487" t="s">
        <v>2761</v>
      </c>
      <c r="B1487">
        <v>48.05</v>
      </c>
      <c r="C1487">
        <v>48.02</v>
      </c>
      <c r="D1487">
        <v>48.24</v>
      </c>
      <c r="E1487">
        <v>47.49</v>
      </c>
      <c r="F1487" t="s">
        <v>1690</v>
      </c>
      <c r="G1487" s="50">
        <v>-1.6999999999999999E-3</v>
      </c>
    </row>
    <row r="1488" spans="1:7" x14ac:dyDescent="0.25">
      <c r="A1488" t="s">
        <v>2762</v>
      </c>
      <c r="B1488">
        <v>48.13</v>
      </c>
      <c r="C1488">
        <v>47.46</v>
      </c>
      <c r="D1488">
        <v>48.16</v>
      </c>
      <c r="E1488">
        <v>47.12</v>
      </c>
      <c r="F1488" t="s">
        <v>1560</v>
      </c>
      <c r="G1488" s="50">
        <v>6.3E-3</v>
      </c>
    </row>
    <row r="1489" spans="1:7" x14ac:dyDescent="0.25">
      <c r="A1489" t="s">
        <v>2763</v>
      </c>
      <c r="B1489">
        <v>47.83</v>
      </c>
      <c r="C1489">
        <v>47.27</v>
      </c>
      <c r="D1489">
        <v>48.29</v>
      </c>
      <c r="E1489">
        <v>47.2</v>
      </c>
      <c r="F1489" t="s">
        <v>2764</v>
      </c>
      <c r="G1489" s="50">
        <v>2.07E-2</v>
      </c>
    </row>
    <row r="1490" spans="1:7" x14ac:dyDescent="0.25">
      <c r="A1490" t="s">
        <v>2765</v>
      </c>
      <c r="B1490">
        <v>46.86</v>
      </c>
      <c r="C1490">
        <v>46.77</v>
      </c>
      <c r="D1490">
        <v>47.25</v>
      </c>
      <c r="E1490">
        <v>46.53</v>
      </c>
      <c r="F1490" t="s">
        <v>1584</v>
      </c>
      <c r="G1490" s="50">
        <v>-1.6999999999999999E-3</v>
      </c>
    </row>
    <row r="1491" spans="1:7" x14ac:dyDescent="0.25">
      <c r="A1491" t="s">
        <v>2766</v>
      </c>
      <c r="B1491">
        <v>46.94</v>
      </c>
      <c r="C1491">
        <v>46.98</v>
      </c>
      <c r="D1491">
        <v>47.2</v>
      </c>
      <c r="E1491">
        <v>46.54</v>
      </c>
      <c r="F1491" t="s">
        <v>2767</v>
      </c>
      <c r="G1491" s="50">
        <v>1.1000000000000001E-3</v>
      </c>
    </row>
    <row r="1492" spans="1:7" x14ac:dyDescent="0.25">
      <c r="A1492" t="s">
        <v>2768</v>
      </c>
      <c r="B1492">
        <v>46.89</v>
      </c>
      <c r="C1492">
        <v>46.4</v>
      </c>
      <c r="D1492">
        <v>46.9</v>
      </c>
      <c r="E1492">
        <v>45.88</v>
      </c>
      <c r="F1492" t="s">
        <v>809</v>
      </c>
      <c r="G1492" s="50">
        <v>1.2699999999999999E-2</v>
      </c>
    </row>
    <row r="1493" spans="1:7" x14ac:dyDescent="0.25">
      <c r="A1493" t="s">
        <v>2769</v>
      </c>
      <c r="B1493">
        <v>46.3</v>
      </c>
      <c r="C1493">
        <v>47.15</v>
      </c>
      <c r="D1493">
        <v>47.28</v>
      </c>
      <c r="E1493">
        <v>46.23</v>
      </c>
      <c r="F1493" t="s">
        <v>2770</v>
      </c>
      <c r="G1493" s="50">
        <v>-3.1800000000000002E-2</v>
      </c>
    </row>
    <row r="1494" spans="1:7" x14ac:dyDescent="0.25">
      <c r="A1494" t="s">
        <v>2771</v>
      </c>
      <c r="B1494">
        <v>47.82</v>
      </c>
      <c r="C1494">
        <v>46.04</v>
      </c>
      <c r="D1494">
        <v>47.82</v>
      </c>
      <c r="E1494">
        <v>45.41</v>
      </c>
      <c r="F1494" t="s">
        <v>2772</v>
      </c>
      <c r="G1494" s="50">
        <v>4.8899999999999999E-2</v>
      </c>
    </row>
    <row r="1495" spans="1:7" x14ac:dyDescent="0.25">
      <c r="A1495" t="s">
        <v>2773</v>
      </c>
      <c r="B1495">
        <v>45.59</v>
      </c>
      <c r="C1495">
        <v>45.9</v>
      </c>
      <c r="D1495">
        <v>46.46</v>
      </c>
      <c r="E1495">
        <v>45.37</v>
      </c>
      <c r="F1495" t="s">
        <v>1199</v>
      </c>
      <c r="G1495" s="50">
        <v>-8.0999999999999996E-3</v>
      </c>
    </row>
    <row r="1496" spans="1:7" x14ac:dyDescent="0.25">
      <c r="A1496" t="s">
        <v>2774</v>
      </c>
      <c r="B1496">
        <v>45.96</v>
      </c>
      <c r="C1496">
        <v>45.04</v>
      </c>
      <c r="D1496">
        <v>45.98</v>
      </c>
      <c r="E1496">
        <v>44.8</v>
      </c>
      <c r="F1496" t="s">
        <v>2775</v>
      </c>
      <c r="G1496" s="50">
        <v>2.5000000000000001E-2</v>
      </c>
    </row>
    <row r="1497" spans="1:7" x14ac:dyDescent="0.25">
      <c r="A1497" t="s">
        <v>2776</v>
      </c>
      <c r="B1497">
        <v>44.84</v>
      </c>
      <c r="C1497">
        <v>45.78</v>
      </c>
      <c r="D1497">
        <v>45.8</v>
      </c>
      <c r="E1497">
        <v>44.68</v>
      </c>
      <c r="F1497" t="s">
        <v>2777</v>
      </c>
      <c r="G1497" s="50">
        <v>-1.2999999999999999E-3</v>
      </c>
    </row>
    <row r="1498" spans="1:7" x14ac:dyDescent="0.25">
      <c r="A1498" t="s">
        <v>2778</v>
      </c>
      <c r="B1498">
        <v>44.9</v>
      </c>
      <c r="C1498">
        <v>44.67</v>
      </c>
      <c r="D1498">
        <v>44.95</v>
      </c>
      <c r="E1498">
        <v>44.12</v>
      </c>
      <c r="F1498" t="s">
        <v>2779</v>
      </c>
      <c r="G1498" s="50">
        <v>5.7999999999999996E-3</v>
      </c>
    </row>
    <row r="1499" spans="1:7" x14ac:dyDescent="0.25">
      <c r="A1499" t="s">
        <v>2780</v>
      </c>
      <c r="B1499">
        <v>44.64</v>
      </c>
      <c r="C1499">
        <v>45.45</v>
      </c>
      <c r="D1499">
        <v>45.66</v>
      </c>
      <c r="E1499">
        <v>44.55</v>
      </c>
      <c r="F1499" t="s">
        <v>886</v>
      </c>
      <c r="G1499" s="50">
        <v>-1.7600000000000001E-2</v>
      </c>
    </row>
    <row r="1500" spans="1:7" x14ac:dyDescent="0.25">
      <c r="A1500" t="s">
        <v>2781</v>
      </c>
      <c r="B1500">
        <v>45.44</v>
      </c>
      <c r="C1500">
        <v>45.05</v>
      </c>
      <c r="D1500">
        <v>45.82</v>
      </c>
      <c r="E1500">
        <v>45.03</v>
      </c>
      <c r="F1500" t="s">
        <v>1598</v>
      </c>
      <c r="G1500" s="50">
        <v>1.8800000000000001E-2</v>
      </c>
    </row>
    <row r="1501" spans="1:7" x14ac:dyDescent="0.25">
      <c r="A1501" t="s">
        <v>2782</v>
      </c>
      <c r="B1501">
        <v>44.6</v>
      </c>
      <c r="C1501">
        <v>44.83</v>
      </c>
      <c r="D1501">
        <v>44.98</v>
      </c>
      <c r="E1501">
        <v>44.41</v>
      </c>
      <c r="F1501" t="s">
        <v>2783</v>
      </c>
      <c r="G1501" s="50">
        <v>-1.0200000000000001E-2</v>
      </c>
    </row>
    <row r="1502" spans="1:7" x14ac:dyDescent="0.25">
      <c r="A1502" t="s">
        <v>2784</v>
      </c>
      <c r="B1502">
        <v>45.06</v>
      </c>
      <c r="C1502">
        <v>45.21</v>
      </c>
      <c r="D1502">
        <v>45.3</v>
      </c>
      <c r="E1502">
        <v>44.33</v>
      </c>
      <c r="F1502" t="s">
        <v>2785</v>
      </c>
      <c r="G1502" s="50">
        <v>1.78E-2</v>
      </c>
    </row>
    <row r="1503" spans="1:7" x14ac:dyDescent="0.25">
      <c r="A1503" t="s">
        <v>2786</v>
      </c>
      <c r="B1503">
        <v>44.27</v>
      </c>
      <c r="C1503">
        <v>42.93</v>
      </c>
      <c r="D1503">
        <v>44.38</v>
      </c>
      <c r="E1503">
        <v>42.85</v>
      </c>
      <c r="F1503" t="s">
        <v>2787</v>
      </c>
      <c r="G1503" s="50">
        <v>9.5999999999999992E-3</v>
      </c>
    </row>
    <row r="1504" spans="1:7" x14ac:dyDescent="0.25">
      <c r="A1504" t="s">
        <v>2788</v>
      </c>
      <c r="B1504">
        <v>43.85</v>
      </c>
      <c r="C1504">
        <v>43.43</v>
      </c>
      <c r="D1504">
        <v>44.58</v>
      </c>
      <c r="E1504">
        <v>43.26</v>
      </c>
      <c r="F1504" t="s">
        <v>658</v>
      </c>
      <c r="G1504" s="50">
        <v>4.53E-2</v>
      </c>
    </row>
    <row r="1505" spans="1:7" x14ac:dyDescent="0.25">
      <c r="A1505" t="s">
        <v>2789</v>
      </c>
      <c r="B1505">
        <v>41.95</v>
      </c>
      <c r="C1505">
        <v>43.41</v>
      </c>
      <c r="D1505">
        <v>43.57</v>
      </c>
      <c r="E1505">
        <v>41.31</v>
      </c>
      <c r="F1505" t="s">
        <v>2790</v>
      </c>
      <c r="G1505" s="50">
        <v>-2.9399999999999999E-2</v>
      </c>
    </row>
    <row r="1506" spans="1:7" x14ac:dyDescent="0.25">
      <c r="A1506" t="s">
        <v>2791</v>
      </c>
      <c r="B1506">
        <v>43.22</v>
      </c>
      <c r="C1506">
        <v>43.94</v>
      </c>
      <c r="D1506">
        <v>44.3</v>
      </c>
      <c r="E1506">
        <v>43.19</v>
      </c>
      <c r="F1506" t="s">
        <v>2792</v>
      </c>
      <c r="G1506" s="50">
        <v>-2.3E-3</v>
      </c>
    </row>
    <row r="1507" spans="1:7" x14ac:dyDescent="0.25">
      <c r="A1507" t="s">
        <v>2793</v>
      </c>
      <c r="B1507">
        <v>43.32</v>
      </c>
      <c r="C1507">
        <v>42.78</v>
      </c>
      <c r="D1507">
        <v>43.65</v>
      </c>
      <c r="E1507">
        <v>42.6</v>
      </c>
      <c r="F1507" t="s">
        <v>2794</v>
      </c>
      <c r="G1507" s="50">
        <v>7.7000000000000002E-3</v>
      </c>
    </row>
    <row r="1508" spans="1:7" x14ac:dyDescent="0.25">
      <c r="A1508" t="s">
        <v>2795</v>
      </c>
      <c r="B1508">
        <v>42.99</v>
      </c>
      <c r="C1508">
        <v>42.02</v>
      </c>
      <c r="D1508">
        <v>43.02</v>
      </c>
      <c r="E1508">
        <v>41.7</v>
      </c>
      <c r="F1508" t="s">
        <v>2796</v>
      </c>
      <c r="G1508" s="50">
        <v>3.9199999999999999E-2</v>
      </c>
    </row>
    <row r="1509" spans="1:7" x14ac:dyDescent="0.25">
      <c r="A1509" t="s">
        <v>2797</v>
      </c>
      <c r="B1509">
        <v>41.37</v>
      </c>
      <c r="C1509">
        <v>41.59</v>
      </c>
      <c r="D1509">
        <v>41.77</v>
      </c>
      <c r="E1509">
        <v>41.22</v>
      </c>
      <c r="F1509" t="s">
        <v>1066</v>
      </c>
      <c r="G1509" s="50">
        <v>5.3E-3</v>
      </c>
    </row>
    <row r="1510" spans="1:7" x14ac:dyDescent="0.25">
      <c r="A1510" t="s">
        <v>2798</v>
      </c>
      <c r="B1510">
        <v>41.15</v>
      </c>
      <c r="C1510">
        <v>41.56</v>
      </c>
      <c r="D1510">
        <v>41.69</v>
      </c>
      <c r="E1510">
        <v>40.97</v>
      </c>
      <c r="F1510" t="s">
        <v>1343</v>
      </c>
      <c r="G1510" s="50">
        <v>-7.4999999999999997E-3</v>
      </c>
    </row>
    <row r="1511" spans="1:7" x14ac:dyDescent="0.25">
      <c r="A1511" t="s">
        <v>2799</v>
      </c>
      <c r="B1511">
        <v>41.46</v>
      </c>
      <c r="C1511">
        <v>41.61</v>
      </c>
      <c r="D1511">
        <v>41.92</v>
      </c>
      <c r="E1511">
        <v>41.39</v>
      </c>
      <c r="F1511" t="s">
        <v>2800</v>
      </c>
      <c r="G1511" s="50">
        <v>2.7000000000000001E-3</v>
      </c>
    </row>
    <row r="1512" spans="1:7" x14ac:dyDescent="0.25">
      <c r="A1512" t="s">
        <v>2801</v>
      </c>
      <c r="B1512">
        <v>41.35</v>
      </c>
      <c r="C1512">
        <v>40.950000000000003</v>
      </c>
      <c r="D1512">
        <v>41.41</v>
      </c>
      <c r="E1512">
        <v>40.49</v>
      </c>
      <c r="F1512" t="s">
        <v>1141</v>
      </c>
      <c r="G1512" s="50">
        <v>1.0500000000000001E-2</v>
      </c>
    </row>
    <row r="1513" spans="1:7" x14ac:dyDescent="0.25">
      <c r="A1513" t="s">
        <v>2802</v>
      </c>
      <c r="B1513">
        <v>40.92</v>
      </c>
      <c r="C1513">
        <v>41.72</v>
      </c>
      <c r="D1513">
        <v>41.81</v>
      </c>
      <c r="E1513">
        <v>40.770000000000003</v>
      </c>
      <c r="F1513" t="s">
        <v>807</v>
      </c>
      <c r="G1513" s="50">
        <v>-3.4500000000000003E-2</v>
      </c>
    </row>
    <row r="1514" spans="1:7" x14ac:dyDescent="0.25">
      <c r="A1514" t="s">
        <v>2803</v>
      </c>
      <c r="B1514">
        <v>42.38</v>
      </c>
      <c r="C1514">
        <v>43.17</v>
      </c>
      <c r="D1514">
        <v>43.17</v>
      </c>
      <c r="E1514">
        <v>42.17</v>
      </c>
      <c r="F1514" t="s">
        <v>2804</v>
      </c>
      <c r="G1514" s="50">
        <v>-2.2200000000000001E-2</v>
      </c>
    </row>
    <row r="1515" spans="1:7" x14ac:dyDescent="0.25">
      <c r="A1515" t="s">
        <v>2805</v>
      </c>
      <c r="B1515">
        <v>43.34</v>
      </c>
      <c r="C1515">
        <v>43.35</v>
      </c>
      <c r="D1515">
        <v>43.48</v>
      </c>
      <c r="E1515">
        <v>42.93</v>
      </c>
      <c r="F1515" t="s">
        <v>536</v>
      </c>
      <c r="G1515" s="50">
        <v>0.02</v>
      </c>
    </row>
    <row r="1516" spans="1:7" x14ac:dyDescent="0.25">
      <c r="A1516" t="s">
        <v>2806</v>
      </c>
      <c r="B1516">
        <v>42.49</v>
      </c>
      <c r="C1516">
        <v>43.5</v>
      </c>
      <c r="D1516">
        <v>43.62</v>
      </c>
      <c r="E1516">
        <v>42.41</v>
      </c>
      <c r="F1516" t="s">
        <v>1508</v>
      </c>
      <c r="G1516" s="50">
        <v>-1.32E-2</v>
      </c>
    </row>
    <row r="1517" spans="1:7" x14ac:dyDescent="0.25">
      <c r="A1517" t="s">
        <v>2807</v>
      </c>
      <c r="B1517">
        <v>43.06</v>
      </c>
      <c r="C1517">
        <v>42.7</v>
      </c>
      <c r="D1517">
        <v>43.22</v>
      </c>
      <c r="E1517">
        <v>42.58</v>
      </c>
      <c r="F1517" t="s">
        <v>409</v>
      </c>
      <c r="G1517" s="50">
        <v>1.2699999999999999E-2</v>
      </c>
    </row>
    <row r="1518" spans="1:7" x14ac:dyDescent="0.25">
      <c r="A1518" t="s">
        <v>2808</v>
      </c>
      <c r="B1518">
        <v>42.52</v>
      </c>
      <c r="C1518">
        <v>41.84</v>
      </c>
      <c r="D1518">
        <v>42.66</v>
      </c>
      <c r="E1518">
        <v>41.65</v>
      </c>
      <c r="F1518" t="s">
        <v>1250</v>
      </c>
      <c r="G1518" s="50">
        <v>2.1600000000000001E-2</v>
      </c>
    </row>
    <row r="1519" spans="1:7" x14ac:dyDescent="0.25">
      <c r="A1519" t="s">
        <v>2809</v>
      </c>
      <c r="B1519">
        <v>41.62</v>
      </c>
      <c r="C1519">
        <v>41.89</v>
      </c>
      <c r="D1519">
        <v>42.55</v>
      </c>
      <c r="E1519">
        <v>41.53</v>
      </c>
      <c r="F1519" t="s">
        <v>241</v>
      </c>
      <c r="G1519" s="50">
        <v>-3.3999999999999998E-3</v>
      </c>
    </row>
    <row r="1520" spans="1:7" x14ac:dyDescent="0.25">
      <c r="A1520" t="s">
        <v>2810</v>
      </c>
      <c r="B1520">
        <v>41.76</v>
      </c>
      <c r="C1520">
        <v>41.27</v>
      </c>
      <c r="D1520">
        <v>42.09</v>
      </c>
      <c r="E1520">
        <v>41.11</v>
      </c>
      <c r="F1520" t="s">
        <v>998</v>
      </c>
      <c r="G1520" s="50">
        <v>2.98E-2</v>
      </c>
    </row>
    <row r="1521" spans="1:7" x14ac:dyDescent="0.25">
      <c r="A1521" t="s">
        <v>2811</v>
      </c>
      <c r="B1521">
        <v>40.549999999999997</v>
      </c>
      <c r="C1521">
        <v>41.83</v>
      </c>
      <c r="D1521">
        <v>41.99</v>
      </c>
      <c r="E1521">
        <v>40.409999999999997</v>
      </c>
      <c r="F1521" t="s">
        <v>597</v>
      </c>
      <c r="G1521" s="50">
        <v>-4.6800000000000001E-2</v>
      </c>
    </row>
    <row r="1522" spans="1:7" x14ac:dyDescent="0.25">
      <c r="A1522" t="s">
        <v>2812</v>
      </c>
      <c r="B1522">
        <v>42.54</v>
      </c>
      <c r="C1522">
        <v>41.92</v>
      </c>
      <c r="D1522">
        <v>43.29</v>
      </c>
      <c r="E1522">
        <v>41.79</v>
      </c>
      <c r="F1522" t="s">
        <v>2629</v>
      </c>
      <c r="G1522" s="50">
        <v>1.4E-3</v>
      </c>
    </row>
    <row r="1523" spans="1:7" x14ac:dyDescent="0.25">
      <c r="A1523" t="s">
        <v>2813</v>
      </c>
      <c r="B1523">
        <v>42.48</v>
      </c>
      <c r="C1523">
        <v>42.25</v>
      </c>
      <c r="D1523">
        <v>42.64</v>
      </c>
      <c r="E1523">
        <v>41.74</v>
      </c>
      <c r="F1523" t="s">
        <v>2814</v>
      </c>
      <c r="G1523" s="50">
        <v>2.3599999999999999E-2</v>
      </c>
    </row>
    <row r="1524" spans="1:7" x14ac:dyDescent="0.25">
      <c r="A1524" t="s">
        <v>2815</v>
      </c>
      <c r="B1524">
        <v>41.5</v>
      </c>
      <c r="C1524">
        <v>41.76</v>
      </c>
      <c r="D1524">
        <v>41.79</v>
      </c>
      <c r="E1524">
        <v>40.68</v>
      </c>
      <c r="F1524" t="s">
        <v>2794</v>
      </c>
      <c r="G1524" s="50">
        <v>-5.0000000000000001E-4</v>
      </c>
    </row>
    <row r="1525" spans="1:7" x14ac:dyDescent="0.25">
      <c r="A1525" t="s">
        <v>2816</v>
      </c>
      <c r="B1525">
        <v>41.52</v>
      </c>
      <c r="C1525">
        <v>42.2</v>
      </c>
      <c r="D1525">
        <v>42.37</v>
      </c>
      <c r="E1525">
        <v>41.23</v>
      </c>
      <c r="F1525" t="s">
        <v>2817</v>
      </c>
      <c r="G1525" s="50">
        <v>-2.9499999999999998E-2</v>
      </c>
    </row>
    <row r="1526" spans="1:7" x14ac:dyDescent="0.25">
      <c r="A1526" t="s">
        <v>2818</v>
      </c>
      <c r="B1526">
        <v>42.78</v>
      </c>
      <c r="C1526">
        <v>41.91</v>
      </c>
      <c r="D1526">
        <v>42.82</v>
      </c>
      <c r="E1526">
        <v>41.53</v>
      </c>
      <c r="F1526" t="s">
        <v>2819</v>
      </c>
      <c r="G1526" s="50">
        <v>3.78E-2</v>
      </c>
    </row>
    <row r="1527" spans="1:7" x14ac:dyDescent="0.25">
      <c r="A1527" t="s">
        <v>2820</v>
      </c>
      <c r="B1527">
        <v>41.22</v>
      </c>
      <c r="C1527">
        <v>41.04</v>
      </c>
      <c r="D1527">
        <v>41.46</v>
      </c>
      <c r="E1527">
        <v>40.53</v>
      </c>
      <c r="F1527" t="s">
        <v>2821</v>
      </c>
      <c r="G1527" s="50">
        <v>5.0000000000000001E-4</v>
      </c>
    </row>
    <row r="1528" spans="1:7" x14ac:dyDescent="0.25">
      <c r="A1528" t="s">
        <v>2822</v>
      </c>
      <c r="B1528">
        <v>41.2</v>
      </c>
      <c r="C1528">
        <v>42.09</v>
      </c>
      <c r="D1528">
        <v>42.2</v>
      </c>
      <c r="E1528">
        <v>40.85</v>
      </c>
      <c r="F1528" t="s">
        <v>2823</v>
      </c>
      <c r="G1528" s="50">
        <v>-1.29E-2</v>
      </c>
    </row>
    <row r="1529" spans="1:7" x14ac:dyDescent="0.25">
      <c r="A1529" t="s">
        <v>2824</v>
      </c>
      <c r="B1529">
        <v>41.74</v>
      </c>
      <c r="C1529">
        <v>41.17</v>
      </c>
      <c r="D1529">
        <v>42.2</v>
      </c>
      <c r="E1529">
        <v>40.869999999999997</v>
      </c>
      <c r="F1529" t="s">
        <v>2565</v>
      </c>
      <c r="G1529" s="50">
        <v>2.7099999999999999E-2</v>
      </c>
    </row>
    <row r="1530" spans="1:7" x14ac:dyDescent="0.25">
      <c r="A1530" t="s">
        <v>2825</v>
      </c>
      <c r="B1530">
        <v>40.64</v>
      </c>
      <c r="C1530">
        <v>42.66</v>
      </c>
      <c r="D1530">
        <v>42.74</v>
      </c>
      <c r="E1530">
        <v>40.590000000000003</v>
      </c>
      <c r="F1530" t="s">
        <v>2826</v>
      </c>
      <c r="G1530" s="50">
        <v>-1.9099999999999999E-2</v>
      </c>
    </row>
    <row r="1531" spans="1:7" x14ac:dyDescent="0.25">
      <c r="A1531" t="s">
        <v>2827</v>
      </c>
      <c r="B1531">
        <v>41.43</v>
      </c>
      <c r="C1531">
        <v>40.46</v>
      </c>
      <c r="D1531">
        <v>41.68</v>
      </c>
      <c r="E1531">
        <v>39.78</v>
      </c>
      <c r="F1531" t="s">
        <v>2828</v>
      </c>
      <c r="G1531" s="50">
        <v>6.0699999999999997E-2</v>
      </c>
    </row>
    <row r="1532" spans="1:7" x14ac:dyDescent="0.25">
      <c r="A1532" t="s">
        <v>2829</v>
      </c>
      <c r="B1532">
        <v>39.06</v>
      </c>
      <c r="C1532">
        <v>39.82</v>
      </c>
      <c r="D1532">
        <v>40.29</v>
      </c>
      <c r="E1532">
        <v>38.54</v>
      </c>
      <c r="F1532" t="s">
        <v>2830</v>
      </c>
      <c r="G1532" s="50">
        <v>-1.8599999999999998E-2</v>
      </c>
    </row>
    <row r="1533" spans="1:7" x14ac:dyDescent="0.25">
      <c r="A1533" t="s">
        <v>2831</v>
      </c>
      <c r="B1533">
        <v>39.799999999999997</v>
      </c>
      <c r="C1533">
        <v>37.840000000000003</v>
      </c>
      <c r="D1533">
        <v>39.950000000000003</v>
      </c>
      <c r="E1533">
        <v>37.47</v>
      </c>
      <c r="F1533" t="s">
        <v>2832</v>
      </c>
      <c r="G1533" s="50">
        <v>3.8399999999999997E-2</v>
      </c>
    </row>
    <row r="1534" spans="1:7" x14ac:dyDescent="0.25">
      <c r="A1534" t="s">
        <v>2833</v>
      </c>
      <c r="B1534">
        <v>38.33</v>
      </c>
      <c r="C1534">
        <v>38.17</v>
      </c>
      <c r="D1534">
        <v>38.86</v>
      </c>
      <c r="E1534">
        <v>37.869999999999997</v>
      </c>
      <c r="F1534" t="s">
        <v>2834</v>
      </c>
      <c r="G1534" s="50">
        <v>-2.4899999999999999E-2</v>
      </c>
    </row>
    <row r="1535" spans="1:7" x14ac:dyDescent="0.25">
      <c r="A1535" t="s">
        <v>2835</v>
      </c>
      <c r="B1535">
        <v>39.31</v>
      </c>
      <c r="C1535">
        <v>40.130000000000003</v>
      </c>
      <c r="D1535">
        <v>40.409999999999997</v>
      </c>
      <c r="E1535">
        <v>39.11</v>
      </c>
      <c r="F1535" t="s">
        <v>2836</v>
      </c>
      <c r="G1535" s="50">
        <v>-2.5000000000000001E-2</v>
      </c>
    </row>
    <row r="1536" spans="1:7" x14ac:dyDescent="0.25">
      <c r="A1536" t="s">
        <v>2837</v>
      </c>
      <c r="B1536">
        <v>40.32</v>
      </c>
      <c r="C1536">
        <v>39.450000000000003</v>
      </c>
      <c r="D1536">
        <v>40.479999999999997</v>
      </c>
      <c r="E1536">
        <v>38.96</v>
      </c>
      <c r="F1536" t="s">
        <v>2838</v>
      </c>
      <c r="G1536" s="50">
        <v>3.8600000000000002E-2</v>
      </c>
    </row>
    <row r="1537" spans="1:7" x14ac:dyDescent="0.25">
      <c r="A1537" t="s">
        <v>2839</v>
      </c>
      <c r="B1537">
        <v>38.82</v>
      </c>
      <c r="C1537">
        <v>39.21</v>
      </c>
      <c r="D1537">
        <v>40.15</v>
      </c>
      <c r="E1537">
        <v>38.409999999999997</v>
      </c>
      <c r="F1537" t="s">
        <v>2840</v>
      </c>
      <c r="G1537" s="50">
        <v>-4.3400000000000001E-2</v>
      </c>
    </row>
    <row r="1538" spans="1:7" x14ac:dyDescent="0.25">
      <c r="A1538" t="s">
        <v>2841</v>
      </c>
      <c r="B1538">
        <v>40.58</v>
      </c>
      <c r="C1538">
        <v>37.97</v>
      </c>
      <c r="D1538">
        <v>40.92</v>
      </c>
      <c r="E1538">
        <v>37.369999999999997</v>
      </c>
      <c r="F1538" t="s">
        <v>2842</v>
      </c>
      <c r="G1538" s="50">
        <v>7.7200000000000005E-2</v>
      </c>
    </row>
    <row r="1539" spans="1:7" x14ac:dyDescent="0.25">
      <c r="A1539" t="s">
        <v>2843</v>
      </c>
      <c r="B1539">
        <v>37.67</v>
      </c>
      <c r="C1539">
        <v>38.65</v>
      </c>
      <c r="D1539">
        <v>39.950000000000003</v>
      </c>
      <c r="E1539">
        <v>37.5</v>
      </c>
      <c r="F1539" t="s">
        <v>2844</v>
      </c>
      <c r="G1539" s="50">
        <v>-2.41E-2</v>
      </c>
    </row>
    <row r="1540" spans="1:7" x14ac:dyDescent="0.25">
      <c r="A1540" t="s">
        <v>2845</v>
      </c>
      <c r="B1540">
        <v>38.6</v>
      </c>
      <c r="C1540">
        <v>36.409999999999997</v>
      </c>
      <c r="D1540">
        <v>38.68</v>
      </c>
      <c r="E1540">
        <v>35.54</v>
      </c>
      <c r="F1540" t="s">
        <v>2846</v>
      </c>
      <c r="G1540" s="50">
        <v>0.11559999999999999</v>
      </c>
    </row>
    <row r="1541" spans="1:7" x14ac:dyDescent="0.25">
      <c r="A1541" t="s">
        <v>2847</v>
      </c>
      <c r="B1541">
        <v>34.6</v>
      </c>
      <c r="C1541">
        <v>35.51</v>
      </c>
      <c r="D1541">
        <v>35.82</v>
      </c>
      <c r="E1541">
        <v>33.74</v>
      </c>
      <c r="F1541" t="s">
        <v>2848</v>
      </c>
      <c r="G1541" s="50">
        <v>-2.81E-2</v>
      </c>
    </row>
    <row r="1542" spans="1:7" x14ac:dyDescent="0.25">
      <c r="A1542" t="s">
        <v>2849</v>
      </c>
      <c r="B1542">
        <v>35.6</v>
      </c>
      <c r="C1542">
        <v>38.270000000000003</v>
      </c>
      <c r="D1542">
        <v>38.47</v>
      </c>
      <c r="E1542">
        <v>35.4</v>
      </c>
      <c r="F1542" t="s">
        <v>2850</v>
      </c>
      <c r="G1542" s="50">
        <v>-5.6000000000000001E-2</v>
      </c>
    </row>
    <row r="1543" spans="1:7" x14ac:dyDescent="0.25">
      <c r="A1543" t="s">
        <v>2851</v>
      </c>
      <c r="B1543">
        <v>37.71</v>
      </c>
      <c r="C1543">
        <v>37.049999999999997</v>
      </c>
      <c r="D1543">
        <v>39.32</v>
      </c>
      <c r="E1543">
        <v>36.15</v>
      </c>
      <c r="F1543" t="s">
        <v>2852</v>
      </c>
      <c r="G1543" s="50">
        <v>1.5900000000000001E-2</v>
      </c>
    </row>
    <row r="1544" spans="1:7" x14ac:dyDescent="0.25">
      <c r="A1544" t="s">
        <v>2853</v>
      </c>
      <c r="B1544">
        <v>37.119999999999997</v>
      </c>
      <c r="C1544">
        <v>33.76</v>
      </c>
      <c r="D1544">
        <v>37.71</v>
      </c>
      <c r="E1544">
        <v>33.31</v>
      </c>
      <c r="F1544" t="s">
        <v>2854</v>
      </c>
      <c r="G1544" s="50">
        <v>4.5600000000000002E-2</v>
      </c>
    </row>
    <row r="1545" spans="1:7" x14ac:dyDescent="0.25">
      <c r="A1545" t="s">
        <v>2855</v>
      </c>
      <c r="B1545">
        <v>35.5</v>
      </c>
      <c r="C1545">
        <v>34.700000000000003</v>
      </c>
      <c r="D1545">
        <v>36.25</v>
      </c>
      <c r="E1545">
        <v>33.6</v>
      </c>
      <c r="F1545" t="s">
        <v>2856</v>
      </c>
      <c r="G1545" s="50">
        <v>5.3100000000000001E-2</v>
      </c>
    </row>
    <row r="1546" spans="1:7" x14ac:dyDescent="0.25">
      <c r="A1546" t="s">
        <v>2857</v>
      </c>
      <c r="B1546">
        <v>33.71</v>
      </c>
      <c r="C1546">
        <v>33.229999999999997</v>
      </c>
      <c r="D1546">
        <v>36.99</v>
      </c>
      <c r="E1546">
        <v>32.4</v>
      </c>
      <c r="F1546" t="s">
        <v>2858</v>
      </c>
      <c r="G1546" s="50">
        <v>-0.10440000000000001</v>
      </c>
    </row>
    <row r="1547" spans="1:7" x14ac:dyDescent="0.25">
      <c r="A1547" t="s">
        <v>2859</v>
      </c>
      <c r="B1547">
        <v>37.64</v>
      </c>
      <c r="C1547">
        <v>35.18</v>
      </c>
      <c r="D1547">
        <v>37.68</v>
      </c>
      <c r="E1547">
        <v>33.33</v>
      </c>
      <c r="F1547" t="s">
        <v>2860</v>
      </c>
      <c r="G1547" s="50">
        <v>0.13370000000000001</v>
      </c>
    </row>
    <row r="1548" spans="1:7" x14ac:dyDescent="0.25">
      <c r="A1548" t="s">
        <v>2861</v>
      </c>
      <c r="B1548">
        <v>33.200000000000003</v>
      </c>
      <c r="C1548">
        <v>34.5</v>
      </c>
      <c r="D1548">
        <v>35.82</v>
      </c>
      <c r="E1548">
        <v>33</v>
      </c>
      <c r="F1548" t="s">
        <v>2862</v>
      </c>
      <c r="G1548" s="50">
        <v>-0.10390000000000001</v>
      </c>
    </row>
    <row r="1549" spans="1:7" x14ac:dyDescent="0.25">
      <c r="A1549" t="s">
        <v>2863</v>
      </c>
      <c r="B1549">
        <v>37.049999999999997</v>
      </c>
      <c r="C1549">
        <v>39.020000000000003</v>
      </c>
      <c r="D1549">
        <v>39.159999999999997</v>
      </c>
      <c r="E1549">
        <v>36.369999999999997</v>
      </c>
      <c r="F1549" t="s">
        <v>2864</v>
      </c>
      <c r="G1549" s="50">
        <v>-7.5600000000000001E-2</v>
      </c>
    </row>
    <row r="1550" spans="1:7" x14ac:dyDescent="0.25">
      <c r="A1550" t="s">
        <v>2865</v>
      </c>
      <c r="B1550">
        <v>40.08</v>
      </c>
      <c r="C1550">
        <v>39.25</v>
      </c>
      <c r="D1550">
        <v>40.15</v>
      </c>
      <c r="E1550">
        <v>37.869999999999997</v>
      </c>
      <c r="F1550" t="s">
        <v>2866</v>
      </c>
      <c r="G1550" s="50">
        <v>5.5800000000000002E-2</v>
      </c>
    </row>
    <row r="1551" spans="1:7" x14ac:dyDescent="0.25">
      <c r="A1551" t="s">
        <v>2867</v>
      </c>
      <c r="B1551">
        <v>37.96</v>
      </c>
      <c r="C1551">
        <v>36.9</v>
      </c>
      <c r="D1551">
        <v>39.56</v>
      </c>
      <c r="E1551">
        <v>36.29</v>
      </c>
      <c r="F1551" t="s">
        <v>2868</v>
      </c>
      <c r="G1551" s="50">
        <v>-4.3299999999999998E-2</v>
      </c>
    </row>
    <row r="1552" spans="1:7" x14ac:dyDescent="0.25">
      <c r="A1552" t="s">
        <v>2869</v>
      </c>
      <c r="B1552">
        <v>39.68</v>
      </c>
      <c r="C1552">
        <v>38</v>
      </c>
      <c r="D1552">
        <v>39.950000000000003</v>
      </c>
      <c r="E1552">
        <v>37.799999999999997</v>
      </c>
      <c r="F1552" t="s">
        <v>2870</v>
      </c>
      <c r="G1552" s="50">
        <v>2.8E-3</v>
      </c>
    </row>
    <row r="1553" spans="1:7" x14ac:dyDescent="0.25">
      <c r="A1553" t="s">
        <v>2871</v>
      </c>
      <c r="B1553">
        <v>39.57</v>
      </c>
      <c r="C1553">
        <v>40.17</v>
      </c>
      <c r="D1553">
        <v>40.51</v>
      </c>
      <c r="E1553">
        <v>39.29</v>
      </c>
      <c r="F1553" t="s">
        <v>2872</v>
      </c>
      <c r="G1553" s="50">
        <v>-4.3999999999999997E-2</v>
      </c>
    </row>
    <row r="1554" spans="1:7" x14ac:dyDescent="0.25">
      <c r="A1554" t="s">
        <v>2873</v>
      </c>
      <c r="B1554">
        <v>41.39</v>
      </c>
      <c r="C1554">
        <v>40.72</v>
      </c>
      <c r="D1554">
        <v>41.45</v>
      </c>
      <c r="E1554">
        <v>39.799999999999997</v>
      </c>
      <c r="F1554" t="s">
        <v>2874</v>
      </c>
      <c r="G1554" s="50">
        <v>3.3700000000000001E-2</v>
      </c>
    </row>
    <row r="1555" spans="1:7" x14ac:dyDescent="0.25">
      <c r="A1555" t="s">
        <v>2875</v>
      </c>
      <c r="B1555">
        <v>40.04</v>
      </c>
      <c r="C1555">
        <v>41.26</v>
      </c>
      <c r="D1555">
        <v>41.9</v>
      </c>
      <c r="E1555">
        <v>39.71</v>
      </c>
      <c r="F1555" t="s">
        <v>2876</v>
      </c>
      <c r="G1555" s="50">
        <v>-2.7400000000000001E-2</v>
      </c>
    </row>
    <row r="1556" spans="1:7" x14ac:dyDescent="0.25">
      <c r="A1556" t="s">
        <v>2877</v>
      </c>
      <c r="B1556">
        <v>41.17</v>
      </c>
      <c r="C1556">
        <v>40.15</v>
      </c>
      <c r="D1556">
        <v>41.19</v>
      </c>
      <c r="E1556">
        <v>38.92</v>
      </c>
      <c r="F1556" t="s">
        <v>2878</v>
      </c>
      <c r="G1556" s="50">
        <v>3.1099999999999999E-2</v>
      </c>
    </row>
    <row r="1557" spans="1:7" x14ac:dyDescent="0.25">
      <c r="A1557" t="s">
        <v>2879</v>
      </c>
      <c r="B1557">
        <v>39.93</v>
      </c>
      <c r="C1557">
        <v>38.700000000000003</v>
      </c>
      <c r="D1557">
        <v>40.549999999999997</v>
      </c>
      <c r="E1557">
        <v>38.35</v>
      </c>
      <c r="F1557" t="s">
        <v>2880</v>
      </c>
      <c r="G1557" s="50">
        <v>-2.7000000000000001E-3</v>
      </c>
    </row>
    <row r="1558" spans="1:7" x14ac:dyDescent="0.25">
      <c r="A1558" t="s">
        <v>2881</v>
      </c>
      <c r="B1558">
        <v>40.04</v>
      </c>
      <c r="C1558">
        <v>41.28</v>
      </c>
      <c r="D1558">
        <v>42.09</v>
      </c>
      <c r="E1558">
        <v>40.01</v>
      </c>
      <c r="F1558" t="s">
        <v>2882</v>
      </c>
      <c r="G1558" s="50">
        <v>-5.0299999999999997E-2</v>
      </c>
    </row>
    <row r="1559" spans="1:7" x14ac:dyDescent="0.25">
      <c r="A1559" t="s">
        <v>2883</v>
      </c>
      <c r="B1559">
        <v>42.16</v>
      </c>
      <c r="C1559">
        <v>42.97</v>
      </c>
      <c r="D1559">
        <v>43.38</v>
      </c>
      <c r="E1559">
        <v>41.94</v>
      </c>
      <c r="F1559" t="s">
        <v>2884</v>
      </c>
      <c r="G1559" s="50">
        <v>-1.3599999999999999E-2</v>
      </c>
    </row>
    <row r="1560" spans="1:7" x14ac:dyDescent="0.25">
      <c r="A1560" t="s">
        <v>2885</v>
      </c>
      <c r="B1560">
        <v>42.74</v>
      </c>
      <c r="C1560">
        <v>44.05</v>
      </c>
      <c r="D1560">
        <v>44.21</v>
      </c>
      <c r="E1560">
        <v>42.07</v>
      </c>
      <c r="F1560" t="s">
        <v>2886</v>
      </c>
      <c r="G1560" s="50">
        <v>-2.86E-2</v>
      </c>
    </row>
    <row r="1561" spans="1:7" x14ac:dyDescent="0.25">
      <c r="A1561" t="s">
        <v>2887</v>
      </c>
      <c r="B1561">
        <v>44</v>
      </c>
      <c r="C1561">
        <v>45</v>
      </c>
      <c r="D1561">
        <v>45.68</v>
      </c>
      <c r="E1561">
        <v>44</v>
      </c>
      <c r="F1561" t="s">
        <v>2888</v>
      </c>
      <c r="G1561" s="50">
        <v>-4.9700000000000001E-2</v>
      </c>
    </row>
    <row r="1562" spans="1:7" x14ac:dyDescent="0.25">
      <c r="A1562" t="s">
        <v>2889</v>
      </c>
      <c r="B1562">
        <v>46.3</v>
      </c>
      <c r="C1562">
        <v>46.73</v>
      </c>
      <c r="D1562">
        <v>46.85</v>
      </c>
      <c r="E1562">
        <v>46.05</v>
      </c>
      <c r="F1562" t="s">
        <v>1199</v>
      </c>
      <c r="G1562" s="50">
        <v>-1.17E-2</v>
      </c>
    </row>
    <row r="1563" spans="1:7" x14ac:dyDescent="0.25">
      <c r="A1563" t="s">
        <v>2890</v>
      </c>
      <c r="B1563">
        <v>46.85</v>
      </c>
      <c r="C1563">
        <v>46.09</v>
      </c>
      <c r="D1563">
        <v>46.96</v>
      </c>
      <c r="E1563">
        <v>45.9</v>
      </c>
      <c r="F1563" t="s">
        <v>2891</v>
      </c>
      <c r="G1563" s="50">
        <v>1.21E-2</v>
      </c>
    </row>
    <row r="1564" spans="1:7" x14ac:dyDescent="0.25">
      <c r="A1564" t="s">
        <v>2892</v>
      </c>
      <c r="B1564">
        <v>46.29</v>
      </c>
      <c r="C1564">
        <v>46.69</v>
      </c>
      <c r="D1564">
        <v>46.81</v>
      </c>
      <c r="E1564">
        <v>45.9</v>
      </c>
      <c r="F1564" t="s">
        <v>2893</v>
      </c>
      <c r="G1564" s="50">
        <v>-6.4000000000000003E-3</v>
      </c>
    </row>
    <row r="1565" spans="1:7" x14ac:dyDescent="0.25">
      <c r="A1565" t="s">
        <v>2894</v>
      </c>
      <c r="B1565">
        <v>46.59</v>
      </c>
      <c r="C1565">
        <v>46.82</v>
      </c>
      <c r="D1565">
        <v>46.85</v>
      </c>
      <c r="E1565">
        <v>46.29</v>
      </c>
      <c r="F1565" t="s">
        <v>1225</v>
      </c>
      <c r="G1565" s="50">
        <v>-8.0999999999999996E-3</v>
      </c>
    </row>
    <row r="1566" spans="1:7" x14ac:dyDescent="0.25">
      <c r="A1566" t="s">
        <v>2895</v>
      </c>
      <c r="B1566">
        <v>46.97</v>
      </c>
      <c r="C1566">
        <v>47.16</v>
      </c>
      <c r="D1566">
        <v>47.22</v>
      </c>
      <c r="E1566">
        <v>46.48</v>
      </c>
      <c r="F1566" t="s">
        <v>2896</v>
      </c>
      <c r="G1566" s="50">
        <v>-7.4000000000000003E-3</v>
      </c>
    </row>
    <row r="1567" spans="1:7" x14ac:dyDescent="0.25">
      <c r="A1567" t="s">
        <v>2897</v>
      </c>
      <c r="B1567">
        <v>47.32</v>
      </c>
      <c r="C1567">
        <v>47.15</v>
      </c>
      <c r="D1567">
        <v>47.67</v>
      </c>
      <c r="E1567">
        <v>46.58</v>
      </c>
      <c r="F1567" t="s">
        <v>2898</v>
      </c>
      <c r="G1567" s="50">
        <v>-5.2299999999999999E-2</v>
      </c>
    </row>
    <row r="1568" spans="1:7" x14ac:dyDescent="0.25">
      <c r="A1568" t="s">
        <v>2899</v>
      </c>
      <c r="B1568">
        <v>49.93</v>
      </c>
      <c r="C1568">
        <v>49.43</v>
      </c>
      <c r="D1568">
        <v>50.28</v>
      </c>
      <c r="E1568">
        <v>49.4</v>
      </c>
      <c r="F1568" t="s">
        <v>2900</v>
      </c>
      <c r="G1568" s="50">
        <v>1.6299999999999999E-2</v>
      </c>
    </row>
    <row r="1569" spans="1:7" x14ac:dyDescent="0.25">
      <c r="A1569" t="s">
        <v>2901</v>
      </c>
      <c r="B1569">
        <v>49.13</v>
      </c>
      <c r="C1569">
        <v>49.39</v>
      </c>
      <c r="D1569">
        <v>49.71</v>
      </c>
      <c r="E1569">
        <v>48.86</v>
      </c>
      <c r="F1569" t="s">
        <v>2178</v>
      </c>
      <c r="G1569" s="50">
        <v>5.3E-3</v>
      </c>
    </row>
    <row r="1570" spans="1:7" x14ac:dyDescent="0.25">
      <c r="A1570" t="s">
        <v>2902</v>
      </c>
      <c r="B1570">
        <v>48.87</v>
      </c>
      <c r="C1570">
        <v>47.99</v>
      </c>
      <c r="D1570">
        <v>48.89</v>
      </c>
      <c r="E1570">
        <v>47.88</v>
      </c>
      <c r="F1570" t="s">
        <v>831</v>
      </c>
      <c r="G1570" s="50">
        <v>1.8800000000000001E-2</v>
      </c>
    </row>
    <row r="1571" spans="1:7" x14ac:dyDescent="0.25">
      <c r="A1571" t="s">
        <v>2903</v>
      </c>
      <c r="B1571">
        <v>47.97</v>
      </c>
      <c r="C1571">
        <v>48.6</v>
      </c>
      <c r="D1571">
        <v>48.77</v>
      </c>
      <c r="E1571">
        <v>47.87</v>
      </c>
      <c r="F1571" t="s">
        <v>1853</v>
      </c>
      <c r="G1571" s="50">
        <v>-1.4800000000000001E-2</v>
      </c>
    </row>
    <row r="1572" spans="1:7" x14ac:dyDescent="0.25">
      <c r="A1572" t="s">
        <v>2904</v>
      </c>
      <c r="B1572">
        <v>48.69</v>
      </c>
      <c r="C1572">
        <v>48.69</v>
      </c>
      <c r="D1572">
        <v>48.82</v>
      </c>
      <c r="E1572">
        <v>48.22</v>
      </c>
      <c r="F1572" t="s">
        <v>2905</v>
      </c>
      <c r="G1572" s="50">
        <v>5.0000000000000001E-3</v>
      </c>
    </row>
    <row r="1573" spans="1:7" x14ac:dyDescent="0.25">
      <c r="A1573" t="s">
        <v>2906</v>
      </c>
      <c r="B1573">
        <v>48.45</v>
      </c>
      <c r="C1573">
        <v>48.33</v>
      </c>
      <c r="D1573">
        <v>48.6</v>
      </c>
      <c r="E1573">
        <v>48.15</v>
      </c>
      <c r="F1573" t="s">
        <v>1084</v>
      </c>
      <c r="G1573" s="50">
        <v>1.7399999999999999E-2</v>
      </c>
    </row>
    <row r="1574" spans="1:7" x14ac:dyDescent="0.25">
      <c r="A1574" t="s">
        <v>2907</v>
      </c>
      <c r="B1574">
        <v>47.62</v>
      </c>
      <c r="C1574">
        <v>47.22</v>
      </c>
      <c r="D1574">
        <v>47.71</v>
      </c>
      <c r="E1574">
        <v>47.11</v>
      </c>
      <c r="F1574" t="s">
        <v>407</v>
      </c>
      <c r="G1574" s="50">
        <v>2.3400000000000001E-2</v>
      </c>
    </row>
    <row r="1575" spans="1:7" x14ac:dyDescent="0.25">
      <c r="A1575" t="s">
        <v>2908</v>
      </c>
      <c r="B1575">
        <v>46.53</v>
      </c>
      <c r="C1575">
        <v>46.4</v>
      </c>
      <c r="D1575">
        <v>46.83</v>
      </c>
      <c r="E1575">
        <v>46.21</v>
      </c>
      <c r="F1575" t="s">
        <v>1203</v>
      </c>
      <c r="G1575" s="50">
        <v>1.2200000000000001E-2</v>
      </c>
    </row>
    <row r="1576" spans="1:7" x14ac:dyDescent="0.25">
      <c r="A1576" t="s">
        <v>2909</v>
      </c>
      <c r="B1576">
        <v>45.97</v>
      </c>
      <c r="C1576">
        <v>46.99</v>
      </c>
      <c r="D1576">
        <v>47</v>
      </c>
      <c r="E1576">
        <v>45.84</v>
      </c>
      <c r="F1576" t="s">
        <v>297</v>
      </c>
      <c r="G1576" s="50">
        <v>-2.69E-2</v>
      </c>
    </row>
    <row r="1577" spans="1:7" x14ac:dyDescent="0.25">
      <c r="A1577" t="s">
        <v>2910</v>
      </c>
      <c r="B1577">
        <v>47.24</v>
      </c>
      <c r="C1577">
        <v>46.54</v>
      </c>
      <c r="D1577">
        <v>47.27</v>
      </c>
      <c r="E1577">
        <v>46.26</v>
      </c>
      <c r="F1577" t="s">
        <v>1395</v>
      </c>
      <c r="G1577" s="50">
        <v>4.0000000000000001E-3</v>
      </c>
    </row>
    <row r="1578" spans="1:7" x14ac:dyDescent="0.25">
      <c r="A1578" t="s">
        <v>2911</v>
      </c>
      <c r="B1578">
        <v>47.05</v>
      </c>
      <c r="C1578">
        <v>47.97</v>
      </c>
      <c r="D1578">
        <v>47.98</v>
      </c>
      <c r="E1578">
        <v>46.93</v>
      </c>
      <c r="F1578" t="s">
        <v>1833</v>
      </c>
      <c r="G1578" s="50">
        <v>-1.5100000000000001E-2</v>
      </c>
    </row>
    <row r="1579" spans="1:7" x14ac:dyDescent="0.25">
      <c r="A1579" t="s">
        <v>2912</v>
      </c>
      <c r="B1579">
        <v>47.77</v>
      </c>
      <c r="C1579">
        <v>47.52</v>
      </c>
      <c r="D1579">
        <v>47.97</v>
      </c>
      <c r="E1579">
        <v>47.5</v>
      </c>
      <c r="F1579" t="s">
        <v>558</v>
      </c>
      <c r="G1579" s="50">
        <v>6.3E-3</v>
      </c>
    </row>
    <row r="1580" spans="1:7" x14ac:dyDescent="0.25">
      <c r="A1580" t="s">
        <v>2913</v>
      </c>
      <c r="B1580">
        <v>47.47</v>
      </c>
      <c r="C1580">
        <v>47.89</v>
      </c>
      <c r="D1580">
        <v>48.07</v>
      </c>
      <c r="E1580">
        <v>47.27</v>
      </c>
      <c r="F1580" t="s">
        <v>1977</v>
      </c>
      <c r="G1580" s="50">
        <v>-2.8199999999999999E-2</v>
      </c>
    </row>
    <row r="1581" spans="1:7" x14ac:dyDescent="0.25">
      <c r="A1581" t="s">
        <v>2914</v>
      </c>
      <c r="B1581">
        <v>48.85</v>
      </c>
      <c r="C1581">
        <v>49.22</v>
      </c>
      <c r="D1581">
        <v>49.48</v>
      </c>
      <c r="E1581">
        <v>48.54</v>
      </c>
      <c r="F1581" t="s">
        <v>1674</v>
      </c>
      <c r="G1581" s="50">
        <v>-3.0999999999999999E-3</v>
      </c>
    </row>
    <row r="1582" spans="1:7" x14ac:dyDescent="0.25">
      <c r="A1582" t="s">
        <v>2915</v>
      </c>
      <c r="B1582">
        <v>49</v>
      </c>
      <c r="C1582">
        <v>49</v>
      </c>
      <c r="D1582">
        <v>49.17</v>
      </c>
      <c r="E1582">
        <v>48.41</v>
      </c>
      <c r="F1582" t="s">
        <v>2916</v>
      </c>
      <c r="G1582" s="50">
        <v>-1.1999999999999999E-3</v>
      </c>
    </row>
    <row r="1583" spans="1:7" x14ac:dyDescent="0.25">
      <c r="A1583" t="s">
        <v>2917</v>
      </c>
      <c r="B1583">
        <v>49.06</v>
      </c>
      <c r="C1583">
        <v>49.28</v>
      </c>
      <c r="D1583">
        <v>49.53</v>
      </c>
      <c r="E1583">
        <v>49.04</v>
      </c>
      <c r="F1583" t="s">
        <v>1460</v>
      </c>
      <c r="G1583" s="50">
        <v>5.3E-3</v>
      </c>
    </row>
    <row r="1584" spans="1:7" x14ac:dyDescent="0.25">
      <c r="A1584" t="s">
        <v>2918</v>
      </c>
      <c r="B1584">
        <v>48.8</v>
      </c>
      <c r="C1584">
        <v>48.96</v>
      </c>
      <c r="D1584">
        <v>49.2</v>
      </c>
      <c r="E1584">
        <v>48.67</v>
      </c>
      <c r="F1584" t="s">
        <v>2919</v>
      </c>
      <c r="G1584" s="50">
        <v>-4.4999999999999997E-3</v>
      </c>
    </row>
    <row r="1585" spans="1:7" x14ac:dyDescent="0.25">
      <c r="A1585" t="s">
        <v>2920</v>
      </c>
      <c r="B1585">
        <v>49.02</v>
      </c>
      <c r="C1585">
        <v>49.31</v>
      </c>
      <c r="D1585">
        <v>49.54</v>
      </c>
      <c r="E1585">
        <v>48.87</v>
      </c>
      <c r="F1585" t="s">
        <v>2921</v>
      </c>
      <c r="G1585" s="50">
        <v>-5.9999999999999995E-4</v>
      </c>
    </row>
    <row r="1586" spans="1:7" x14ac:dyDescent="0.25">
      <c r="A1586" t="s">
        <v>2922</v>
      </c>
      <c r="B1586">
        <v>49.05</v>
      </c>
      <c r="C1586">
        <v>48.38</v>
      </c>
      <c r="D1586">
        <v>49.08</v>
      </c>
      <c r="E1586">
        <v>48.23</v>
      </c>
      <c r="F1586" t="s">
        <v>1946</v>
      </c>
      <c r="G1586" s="50">
        <v>2.1700000000000001E-2</v>
      </c>
    </row>
    <row r="1587" spans="1:7" x14ac:dyDescent="0.25">
      <c r="A1587" t="s">
        <v>2923</v>
      </c>
      <c r="B1587">
        <v>48.01</v>
      </c>
      <c r="C1587">
        <v>47.92</v>
      </c>
      <c r="D1587">
        <v>48.4</v>
      </c>
      <c r="E1587">
        <v>47.76</v>
      </c>
      <c r="F1587" t="s">
        <v>505</v>
      </c>
      <c r="G1587" s="50">
        <v>4.5999999999999999E-3</v>
      </c>
    </row>
    <row r="1588" spans="1:7" x14ac:dyDescent="0.25">
      <c r="A1588" t="s">
        <v>2924</v>
      </c>
      <c r="B1588">
        <v>47.79</v>
      </c>
      <c r="C1588">
        <v>47.96</v>
      </c>
      <c r="D1588">
        <v>47.99</v>
      </c>
      <c r="E1588">
        <v>47.62</v>
      </c>
      <c r="F1588" t="s">
        <v>1974</v>
      </c>
      <c r="G1588" s="50">
        <v>-3.8E-3</v>
      </c>
    </row>
    <row r="1589" spans="1:7" x14ac:dyDescent="0.25">
      <c r="A1589" t="s">
        <v>2925</v>
      </c>
      <c r="B1589">
        <v>47.97</v>
      </c>
      <c r="C1589">
        <v>47.31</v>
      </c>
      <c r="D1589">
        <v>47.98</v>
      </c>
      <c r="E1589">
        <v>47.3</v>
      </c>
      <c r="F1589" t="s">
        <v>2926</v>
      </c>
      <c r="G1589" s="50">
        <v>1.78E-2</v>
      </c>
    </row>
    <row r="1590" spans="1:7" x14ac:dyDescent="0.25">
      <c r="A1590" t="s">
        <v>2927</v>
      </c>
      <c r="B1590">
        <v>47.13</v>
      </c>
      <c r="C1590">
        <v>47.48</v>
      </c>
      <c r="D1590">
        <v>47.56</v>
      </c>
      <c r="E1590">
        <v>47.06</v>
      </c>
      <c r="F1590" t="s">
        <v>2928</v>
      </c>
      <c r="G1590" s="50">
        <v>-4.0000000000000001E-3</v>
      </c>
    </row>
    <row r="1591" spans="1:7" x14ac:dyDescent="0.25">
      <c r="A1591" t="s">
        <v>2929</v>
      </c>
      <c r="B1591">
        <v>47.32</v>
      </c>
      <c r="C1591">
        <v>47.79</v>
      </c>
      <c r="D1591">
        <v>47.88</v>
      </c>
      <c r="E1591">
        <v>47.07</v>
      </c>
      <c r="F1591" t="s">
        <v>380</v>
      </c>
      <c r="G1591" s="50">
        <v>-4.1999999999999997E-3</v>
      </c>
    </row>
    <row r="1592" spans="1:7" x14ac:dyDescent="0.25">
      <c r="A1592" t="s">
        <v>2930</v>
      </c>
      <c r="B1592">
        <v>47.52</v>
      </c>
      <c r="C1592">
        <v>46.97</v>
      </c>
      <c r="D1592">
        <v>47.78</v>
      </c>
      <c r="E1592">
        <v>46.81</v>
      </c>
      <c r="F1592" t="s">
        <v>2931</v>
      </c>
      <c r="G1592" s="50">
        <v>5.9999999999999995E-4</v>
      </c>
    </row>
    <row r="1593" spans="1:7" x14ac:dyDescent="0.25">
      <c r="A1593" t="s">
        <v>2932</v>
      </c>
      <c r="B1593">
        <v>47.49</v>
      </c>
      <c r="C1593">
        <v>47.72</v>
      </c>
      <c r="D1593">
        <v>47.72</v>
      </c>
      <c r="E1593">
        <v>47.1</v>
      </c>
      <c r="F1593" t="s">
        <v>2678</v>
      </c>
      <c r="G1593" s="50">
        <v>-6.4999999999999997E-3</v>
      </c>
    </row>
    <row r="1594" spans="1:7" x14ac:dyDescent="0.25">
      <c r="A1594" t="s">
        <v>2933</v>
      </c>
      <c r="B1594">
        <v>47.8</v>
      </c>
      <c r="C1594">
        <v>47.14</v>
      </c>
      <c r="D1594">
        <v>47.82</v>
      </c>
      <c r="E1594">
        <v>47.01</v>
      </c>
      <c r="F1594" t="s">
        <v>2934</v>
      </c>
      <c r="G1594" s="50">
        <v>3.5999999999999999E-3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4264-FFD3-420F-A78D-C6DF67AE07F5}">
  <dimension ref="A1:G25"/>
  <sheetViews>
    <sheetView workbookViewId="0">
      <selection activeCell="M13" sqref="M13"/>
    </sheetView>
  </sheetViews>
  <sheetFormatPr defaultRowHeight="15" x14ac:dyDescent="0.25"/>
  <cols>
    <col min="1" max="1" width="10.140625" bestFit="1" customWidth="1"/>
    <col min="2" max="2" width="9.28515625" customWidth="1"/>
    <col min="3" max="3" width="11" customWidth="1"/>
    <col min="4" max="4" width="11.140625" customWidth="1"/>
    <col min="5" max="5" width="10.140625" customWidth="1"/>
  </cols>
  <sheetData>
    <row r="1" spans="1:7" x14ac:dyDescent="0.25">
      <c r="A1" t="s">
        <v>227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</row>
    <row r="2" spans="1:7" x14ac:dyDescent="0.25">
      <c r="A2" t="s">
        <v>3666</v>
      </c>
      <c r="B2">
        <v>50.18</v>
      </c>
      <c r="C2">
        <v>50.49</v>
      </c>
      <c r="D2">
        <v>52.62</v>
      </c>
      <c r="E2">
        <v>49.43</v>
      </c>
      <c r="F2" t="s">
        <v>3667</v>
      </c>
      <c r="G2" s="50">
        <v>-6.7000000000000002E-3</v>
      </c>
    </row>
    <row r="3" spans="1:7" x14ac:dyDescent="0.25">
      <c r="A3" t="s">
        <v>1279</v>
      </c>
      <c r="B3">
        <v>48.37</v>
      </c>
      <c r="C3">
        <v>50.23</v>
      </c>
      <c r="D3">
        <v>50.61</v>
      </c>
      <c r="E3">
        <v>47.85</v>
      </c>
      <c r="F3" t="s">
        <v>3668</v>
      </c>
      <c r="G3" s="50">
        <v>-3.61E-2</v>
      </c>
    </row>
    <row r="4" spans="1:7" x14ac:dyDescent="0.25">
      <c r="A4" t="s">
        <v>1245</v>
      </c>
      <c r="B4">
        <v>49.91</v>
      </c>
      <c r="C4">
        <v>48.11</v>
      </c>
      <c r="D4">
        <v>50.55</v>
      </c>
      <c r="E4">
        <v>47.66</v>
      </c>
      <c r="F4" t="s">
        <v>3669</v>
      </c>
      <c r="G4" s="50">
        <v>3.1800000000000002E-2</v>
      </c>
    </row>
    <row r="5" spans="1:7" x14ac:dyDescent="0.25">
      <c r="A5" t="s">
        <v>1211</v>
      </c>
      <c r="B5">
        <v>46.98</v>
      </c>
      <c r="C5">
        <v>49.96</v>
      </c>
      <c r="D5">
        <v>50.2</v>
      </c>
      <c r="E5">
        <v>46.97</v>
      </c>
      <c r="F5" t="s">
        <v>3670</v>
      </c>
      <c r="G5" s="50">
        <v>-5.8700000000000002E-2</v>
      </c>
    </row>
    <row r="6" spans="1:7" x14ac:dyDescent="0.25">
      <c r="A6" t="s">
        <v>1173</v>
      </c>
      <c r="B6">
        <v>46.5</v>
      </c>
      <c r="C6">
        <v>46.7</v>
      </c>
      <c r="D6">
        <v>50.11</v>
      </c>
      <c r="E6">
        <v>45.85</v>
      </c>
      <c r="F6" t="s">
        <v>3671</v>
      </c>
      <c r="G6" s="50">
        <v>-1.0200000000000001E-2</v>
      </c>
    </row>
    <row r="7" spans="1:7" x14ac:dyDescent="0.25">
      <c r="A7" t="s">
        <v>3672</v>
      </c>
      <c r="B7">
        <v>47.51</v>
      </c>
      <c r="C7">
        <v>46.72</v>
      </c>
      <c r="D7">
        <v>47.86</v>
      </c>
      <c r="E7">
        <v>44.95</v>
      </c>
      <c r="F7" t="s">
        <v>3673</v>
      </c>
      <c r="G7" s="50">
        <v>2.1700000000000001E-2</v>
      </c>
    </row>
    <row r="8" spans="1:7" x14ac:dyDescent="0.25">
      <c r="A8" t="s">
        <v>1101</v>
      </c>
      <c r="B8">
        <v>48.45</v>
      </c>
      <c r="C8">
        <v>47.48</v>
      </c>
      <c r="D8">
        <v>48.77</v>
      </c>
      <c r="E8">
        <v>45.65</v>
      </c>
      <c r="F8" t="s">
        <v>3674</v>
      </c>
      <c r="G8" s="50">
        <v>1.9800000000000002E-2</v>
      </c>
    </row>
    <row r="9" spans="1:7" x14ac:dyDescent="0.25">
      <c r="A9" t="s">
        <v>1061</v>
      </c>
      <c r="B9">
        <v>50.54</v>
      </c>
      <c r="C9">
        <v>48.62</v>
      </c>
      <c r="D9">
        <v>51.02</v>
      </c>
      <c r="E9">
        <v>44.5</v>
      </c>
      <c r="F9" t="s">
        <v>3675</v>
      </c>
      <c r="G9" s="50">
        <v>4.3099999999999999E-2</v>
      </c>
    </row>
    <row r="10" spans="1:7" x14ac:dyDescent="0.25">
      <c r="A10" t="s">
        <v>3676</v>
      </c>
      <c r="B10">
        <v>53.22</v>
      </c>
      <c r="C10">
        <v>50.31</v>
      </c>
      <c r="D10">
        <v>53.31</v>
      </c>
      <c r="E10">
        <v>47.85</v>
      </c>
      <c r="F10" t="s">
        <v>3677</v>
      </c>
      <c r="G10" s="50">
        <v>5.2999999999999999E-2</v>
      </c>
    </row>
    <row r="11" spans="1:7" x14ac:dyDescent="0.25">
      <c r="A11" t="s">
        <v>986</v>
      </c>
      <c r="B11">
        <v>54.77</v>
      </c>
      <c r="C11">
        <v>53.11</v>
      </c>
      <c r="D11">
        <v>57.06</v>
      </c>
      <c r="E11">
        <v>52.13</v>
      </c>
      <c r="F11" t="s">
        <v>3678</v>
      </c>
      <c r="G11" s="50">
        <v>2.9100000000000001E-2</v>
      </c>
    </row>
    <row r="12" spans="1:7" x14ac:dyDescent="0.25">
      <c r="A12" t="s">
        <v>944</v>
      </c>
      <c r="B12">
        <v>59.21</v>
      </c>
      <c r="C12">
        <v>54.74</v>
      </c>
      <c r="D12">
        <v>59.87</v>
      </c>
      <c r="E12">
        <v>54.53</v>
      </c>
      <c r="F12" t="s">
        <v>3679</v>
      </c>
      <c r="G12" s="50">
        <v>8.1100000000000005E-2</v>
      </c>
    </row>
    <row r="13" spans="1:7" x14ac:dyDescent="0.25">
      <c r="A13" t="s">
        <v>3680</v>
      </c>
      <c r="B13">
        <v>59.2</v>
      </c>
      <c r="C13">
        <v>59.25</v>
      </c>
      <c r="D13">
        <v>60.23</v>
      </c>
      <c r="E13">
        <v>57.27</v>
      </c>
      <c r="F13" t="s">
        <v>3681</v>
      </c>
      <c r="G13" s="50">
        <v>-2.0000000000000001E-4</v>
      </c>
    </row>
    <row r="14" spans="1:7" x14ac:dyDescent="0.25">
      <c r="A14" t="s">
        <v>3682</v>
      </c>
      <c r="B14">
        <v>60.6</v>
      </c>
      <c r="C14">
        <v>59.27</v>
      </c>
      <c r="D14">
        <v>62.31</v>
      </c>
      <c r="E14">
        <v>58.17</v>
      </c>
      <c r="F14" t="s">
        <v>3683</v>
      </c>
      <c r="G14" s="50">
        <v>2.3599999999999999E-2</v>
      </c>
    </row>
    <row r="15" spans="1:7" x14ac:dyDescent="0.25">
      <c r="A15" t="s">
        <v>3684</v>
      </c>
      <c r="B15">
        <v>64.11</v>
      </c>
      <c r="C15">
        <v>60.19</v>
      </c>
      <c r="D15">
        <v>66.5</v>
      </c>
      <c r="E15">
        <v>59.55</v>
      </c>
      <c r="F15" t="s">
        <v>3685</v>
      </c>
      <c r="G15" s="50">
        <v>5.79E-2</v>
      </c>
    </row>
    <row r="16" spans="1:7" x14ac:dyDescent="0.25">
      <c r="A16" t="s">
        <v>3686</v>
      </c>
      <c r="B16">
        <v>61.71</v>
      </c>
      <c r="C16">
        <v>64.39</v>
      </c>
      <c r="D16">
        <v>64.88</v>
      </c>
      <c r="E16">
        <v>59.23</v>
      </c>
      <c r="F16" t="s">
        <v>3687</v>
      </c>
      <c r="G16" s="50">
        <v>-3.7400000000000003E-2</v>
      </c>
    </row>
    <row r="17" spans="1:7" x14ac:dyDescent="0.25">
      <c r="A17" t="s">
        <v>759</v>
      </c>
      <c r="B17">
        <v>57.73</v>
      </c>
      <c r="C17">
        <v>61.38</v>
      </c>
      <c r="D17">
        <v>62.04</v>
      </c>
      <c r="E17">
        <v>52.11</v>
      </c>
      <c r="F17" t="s">
        <v>3688</v>
      </c>
      <c r="G17" s="50">
        <v>-6.4500000000000002E-2</v>
      </c>
    </row>
    <row r="18" spans="1:7" x14ac:dyDescent="0.25">
      <c r="A18" t="s">
        <v>719</v>
      </c>
      <c r="B18">
        <v>63.04</v>
      </c>
      <c r="C18">
        <v>57.78</v>
      </c>
      <c r="D18">
        <v>65.75</v>
      </c>
      <c r="E18">
        <v>57.68</v>
      </c>
      <c r="F18" t="s">
        <v>3689</v>
      </c>
      <c r="G18" s="50">
        <v>9.1999999999999998E-2</v>
      </c>
    </row>
    <row r="19" spans="1:7" x14ac:dyDescent="0.25">
      <c r="A19" t="s">
        <v>3690</v>
      </c>
      <c r="B19">
        <v>69.38</v>
      </c>
      <c r="C19">
        <v>62.72</v>
      </c>
      <c r="D19">
        <v>69.78</v>
      </c>
      <c r="E19">
        <v>62.71</v>
      </c>
      <c r="F19" t="s">
        <v>3691</v>
      </c>
      <c r="G19" s="50">
        <v>0.10059999999999999</v>
      </c>
    </row>
    <row r="20" spans="1:7" x14ac:dyDescent="0.25">
      <c r="A20" t="s">
        <v>645</v>
      </c>
      <c r="B20">
        <v>68.08</v>
      </c>
      <c r="C20">
        <v>69.38</v>
      </c>
      <c r="D20">
        <v>69.540000000000006</v>
      </c>
      <c r="E20">
        <v>66.98</v>
      </c>
      <c r="F20" t="s">
        <v>3692</v>
      </c>
      <c r="G20" s="50">
        <v>-1.8700000000000001E-2</v>
      </c>
    </row>
    <row r="21" spans="1:7" x14ac:dyDescent="0.25">
      <c r="A21" t="s">
        <v>605</v>
      </c>
      <c r="B21">
        <v>69.09</v>
      </c>
      <c r="C21">
        <v>67.510000000000005</v>
      </c>
      <c r="D21">
        <v>72.55</v>
      </c>
      <c r="E21">
        <v>65.75</v>
      </c>
      <c r="F21" t="s">
        <v>3693</v>
      </c>
      <c r="G21" s="50">
        <v>1.4800000000000001E-2</v>
      </c>
    </row>
    <row r="22" spans="1:7" x14ac:dyDescent="0.25">
      <c r="A22" t="s">
        <v>3694</v>
      </c>
      <c r="B22">
        <v>68.42</v>
      </c>
      <c r="C22">
        <v>68.11</v>
      </c>
      <c r="D22">
        <v>68.92</v>
      </c>
      <c r="E22">
        <v>66.13</v>
      </c>
      <c r="F22" t="s">
        <v>3695</v>
      </c>
      <c r="G22" s="50">
        <v>-9.7000000000000003E-3</v>
      </c>
    </row>
    <row r="23" spans="1:7" x14ac:dyDescent="0.25">
      <c r="A23" t="s">
        <v>527</v>
      </c>
      <c r="B23">
        <v>73.11</v>
      </c>
      <c r="C23">
        <v>67.900000000000006</v>
      </c>
      <c r="D23">
        <v>73.48</v>
      </c>
      <c r="E23">
        <v>66.81</v>
      </c>
      <c r="F23" t="s">
        <v>3696</v>
      </c>
      <c r="G23" s="50">
        <v>6.8500000000000005E-2</v>
      </c>
    </row>
    <row r="24" spans="1:7" x14ac:dyDescent="0.25">
      <c r="A24" t="s">
        <v>3697</v>
      </c>
      <c r="B24">
        <v>76.94</v>
      </c>
      <c r="C24">
        <v>74.61</v>
      </c>
      <c r="D24">
        <v>80.06</v>
      </c>
      <c r="E24">
        <v>70.540000000000006</v>
      </c>
      <c r="F24" t="s">
        <v>3698</v>
      </c>
      <c r="G24" s="50">
        <v>5.2400000000000002E-2</v>
      </c>
    </row>
    <row r="25" spans="1:7" x14ac:dyDescent="0.25">
      <c r="A25" t="s">
        <v>446</v>
      </c>
      <c r="B25">
        <v>77.03</v>
      </c>
      <c r="C25">
        <v>76.67</v>
      </c>
      <c r="D25">
        <v>80.819999999999993</v>
      </c>
      <c r="E25">
        <v>75.650000000000006</v>
      </c>
      <c r="F25" t="s">
        <v>3699</v>
      </c>
      <c r="G25" s="50">
        <v>1.1999999999999999E-3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6B33-FB74-4714-AE5F-CFAF5ECB0CD4}">
  <dimension ref="A1:G25"/>
  <sheetViews>
    <sheetView workbookViewId="0">
      <selection activeCell="K10" sqref="K10"/>
    </sheetView>
  </sheetViews>
  <sheetFormatPr defaultRowHeight="15" x14ac:dyDescent="0.25"/>
  <cols>
    <col min="1" max="1" width="10.140625" bestFit="1" customWidth="1"/>
    <col min="2" max="2" width="9.28515625" customWidth="1"/>
    <col min="3" max="3" width="11" customWidth="1"/>
    <col min="4" max="4" width="11.140625" customWidth="1"/>
    <col min="5" max="5" width="10.140625" customWidth="1"/>
    <col min="6" max="6" width="8.28515625" bestFit="1" customWidth="1"/>
    <col min="7" max="7" width="8.7109375" customWidth="1"/>
  </cols>
  <sheetData>
    <row r="1" spans="1:7" x14ac:dyDescent="0.25">
      <c r="A1" t="s">
        <v>227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</row>
    <row r="2" spans="1:7" x14ac:dyDescent="0.25">
      <c r="A2" t="s">
        <v>3666</v>
      </c>
      <c r="B2">
        <v>482.88</v>
      </c>
      <c r="C2">
        <v>472.16</v>
      </c>
      <c r="D2">
        <v>491.62</v>
      </c>
      <c r="E2">
        <v>466.43</v>
      </c>
      <c r="F2" t="s">
        <v>3700</v>
      </c>
      <c r="G2" s="50">
        <v>1.5900000000000001E-2</v>
      </c>
    </row>
    <row r="3" spans="1:7" x14ac:dyDescent="0.25">
      <c r="A3" t="s">
        <v>1279</v>
      </c>
      <c r="B3">
        <v>508.08</v>
      </c>
      <c r="C3">
        <v>484.63</v>
      </c>
      <c r="D3">
        <v>510.13</v>
      </c>
      <c r="E3">
        <v>483.8</v>
      </c>
      <c r="F3" t="s">
        <v>3701</v>
      </c>
      <c r="G3" s="50">
        <v>5.2200000000000003E-2</v>
      </c>
    </row>
    <row r="4" spans="1:7" x14ac:dyDescent="0.25">
      <c r="A4" t="s">
        <v>1245</v>
      </c>
      <c r="B4">
        <v>523.07000000000005</v>
      </c>
      <c r="C4">
        <v>508.98</v>
      </c>
      <c r="D4">
        <v>524.61</v>
      </c>
      <c r="E4">
        <v>504.91</v>
      </c>
      <c r="F4" t="s">
        <v>3702</v>
      </c>
      <c r="G4" s="50">
        <v>2.9499999999999998E-2</v>
      </c>
    </row>
    <row r="5" spans="1:7" x14ac:dyDescent="0.25">
      <c r="A5" t="s">
        <v>1211</v>
      </c>
      <c r="B5">
        <v>501.98</v>
      </c>
      <c r="C5">
        <v>523.83000000000004</v>
      </c>
      <c r="D5">
        <v>524.38</v>
      </c>
      <c r="E5">
        <v>493.86</v>
      </c>
      <c r="F5" t="s">
        <v>3703</v>
      </c>
      <c r="G5" s="50">
        <v>-4.0300000000000002E-2</v>
      </c>
    </row>
    <row r="6" spans="1:7" x14ac:dyDescent="0.25">
      <c r="A6" t="s">
        <v>1173</v>
      </c>
      <c r="B6">
        <v>527.37</v>
      </c>
      <c r="C6">
        <v>501.38</v>
      </c>
      <c r="D6">
        <v>533.07000000000005</v>
      </c>
      <c r="E6">
        <v>499.55</v>
      </c>
      <c r="F6" t="s">
        <v>3704</v>
      </c>
      <c r="G6" s="50">
        <v>5.0599999999999999E-2</v>
      </c>
    </row>
    <row r="7" spans="1:7" x14ac:dyDescent="0.25">
      <c r="A7" t="s">
        <v>3672</v>
      </c>
      <c r="B7">
        <v>544.22</v>
      </c>
      <c r="C7">
        <v>529.02</v>
      </c>
      <c r="D7">
        <v>550.28</v>
      </c>
      <c r="E7">
        <v>522.6</v>
      </c>
      <c r="F7" t="s">
        <v>3705</v>
      </c>
      <c r="G7" s="50">
        <v>3.2000000000000001E-2</v>
      </c>
    </row>
    <row r="8" spans="1:7" x14ac:dyDescent="0.25">
      <c r="A8" t="s">
        <v>1101</v>
      </c>
      <c r="B8">
        <v>550.80999999999995</v>
      </c>
      <c r="C8">
        <v>545.63</v>
      </c>
      <c r="D8">
        <v>565.16</v>
      </c>
      <c r="E8">
        <v>537.45000000000005</v>
      </c>
      <c r="F8" t="s">
        <v>3706</v>
      </c>
      <c r="G8" s="50">
        <v>1.21E-2</v>
      </c>
    </row>
    <row r="9" spans="1:7" x14ac:dyDescent="0.25">
      <c r="A9" t="s">
        <v>1061</v>
      </c>
      <c r="B9">
        <v>563.67999999999995</v>
      </c>
      <c r="C9">
        <v>552.57000000000005</v>
      </c>
      <c r="D9">
        <v>564.20000000000005</v>
      </c>
      <c r="E9">
        <v>510.27</v>
      </c>
      <c r="F9" t="s">
        <v>3707</v>
      </c>
      <c r="G9" s="50">
        <v>2.3400000000000001E-2</v>
      </c>
    </row>
    <row r="10" spans="1:7" x14ac:dyDescent="0.25">
      <c r="A10" t="s">
        <v>3676</v>
      </c>
      <c r="B10">
        <v>573.76</v>
      </c>
      <c r="C10">
        <v>560.47</v>
      </c>
      <c r="D10">
        <v>574.71</v>
      </c>
      <c r="E10">
        <v>539.44000000000005</v>
      </c>
      <c r="F10" t="s">
        <v>3708</v>
      </c>
      <c r="G10" s="50">
        <v>1.7899999999999999E-2</v>
      </c>
    </row>
    <row r="11" spans="1:7" x14ac:dyDescent="0.25">
      <c r="A11" t="s">
        <v>986</v>
      </c>
      <c r="B11">
        <v>568.64</v>
      </c>
      <c r="C11">
        <v>573.4</v>
      </c>
      <c r="D11">
        <v>586.12</v>
      </c>
      <c r="E11">
        <v>565.27</v>
      </c>
      <c r="F11" t="s">
        <v>3709</v>
      </c>
      <c r="G11" s="50">
        <v>-8.8999999999999999E-3</v>
      </c>
    </row>
    <row r="12" spans="1:7" x14ac:dyDescent="0.25">
      <c r="A12" t="s">
        <v>944</v>
      </c>
      <c r="B12">
        <v>602.54999999999995</v>
      </c>
      <c r="C12">
        <v>571.32000000000005</v>
      </c>
      <c r="D12">
        <v>603.35</v>
      </c>
      <c r="E12">
        <v>567.89</v>
      </c>
      <c r="F12" t="s">
        <v>3710</v>
      </c>
      <c r="G12" s="50">
        <v>5.96E-2</v>
      </c>
    </row>
    <row r="13" spans="1:7" x14ac:dyDescent="0.25">
      <c r="A13" t="s">
        <v>3680</v>
      </c>
      <c r="B13">
        <v>586.08000000000004</v>
      </c>
      <c r="C13">
        <v>602.97</v>
      </c>
      <c r="D13">
        <v>609.07000000000005</v>
      </c>
      <c r="E13">
        <v>580.91</v>
      </c>
      <c r="F13" t="s">
        <v>3711</v>
      </c>
      <c r="G13" s="50">
        <v>-2.7300000000000001E-2</v>
      </c>
    </row>
    <row r="14" spans="1:7" x14ac:dyDescent="0.25">
      <c r="A14" t="s">
        <v>3682</v>
      </c>
      <c r="B14">
        <v>601.82000000000005</v>
      </c>
      <c r="C14">
        <v>589.39</v>
      </c>
      <c r="D14">
        <v>610.78</v>
      </c>
      <c r="E14">
        <v>575.35</v>
      </c>
      <c r="F14" t="s">
        <v>3712</v>
      </c>
      <c r="G14" s="50">
        <v>2.69E-2</v>
      </c>
    </row>
    <row r="15" spans="1:7" x14ac:dyDescent="0.25">
      <c r="A15" t="s">
        <v>3684</v>
      </c>
      <c r="B15">
        <v>594.17999999999995</v>
      </c>
      <c r="C15">
        <v>592.66999999999996</v>
      </c>
      <c r="D15">
        <v>613.23</v>
      </c>
      <c r="E15">
        <v>582.44000000000005</v>
      </c>
      <c r="F15" t="s">
        <v>3713</v>
      </c>
      <c r="G15" s="50">
        <v>-1.2699999999999999E-2</v>
      </c>
    </row>
    <row r="16" spans="1:7" x14ac:dyDescent="0.25">
      <c r="A16" t="s">
        <v>3686</v>
      </c>
      <c r="B16">
        <v>559.39</v>
      </c>
      <c r="C16">
        <v>596.17999999999995</v>
      </c>
      <c r="D16">
        <v>597.34</v>
      </c>
      <c r="E16">
        <v>546.87</v>
      </c>
      <c r="F16" t="s">
        <v>3714</v>
      </c>
      <c r="G16" s="50">
        <v>-5.8599999999999999E-2</v>
      </c>
    </row>
    <row r="17" spans="1:7" x14ac:dyDescent="0.25">
      <c r="A17" t="s">
        <v>759</v>
      </c>
      <c r="B17">
        <v>554.54</v>
      </c>
      <c r="C17">
        <v>557.45000000000005</v>
      </c>
      <c r="D17">
        <v>567.41999999999996</v>
      </c>
      <c r="E17">
        <v>481.8</v>
      </c>
      <c r="F17" t="s">
        <v>3715</v>
      </c>
      <c r="G17" s="50">
        <v>-8.6999999999999994E-3</v>
      </c>
    </row>
    <row r="18" spans="1:7" x14ac:dyDescent="0.25">
      <c r="A18" t="s">
        <v>719</v>
      </c>
      <c r="B18">
        <v>589.39</v>
      </c>
      <c r="C18">
        <v>560.37</v>
      </c>
      <c r="D18">
        <v>595.54</v>
      </c>
      <c r="E18">
        <v>556.04</v>
      </c>
      <c r="F18" t="s">
        <v>3716</v>
      </c>
      <c r="G18" s="50">
        <v>6.2799999999999995E-2</v>
      </c>
    </row>
    <row r="19" spans="1:7" x14ac:dyDescent="0.25">
      <c r="A19" t="s">
        <v>3690</v>
      </c>
      <c r="B19">
        <v>617.85</v>
      </c>
      <c r="C19">
        <v>587.76</v>
      </c>
      <c r="D19">
        <v>619.22</v>
      </c>
      <c r="E19">
        <v>585.05999999999995</v>
      </c>
      <c r="F19" t="s">
        <v>3714</v>
      </c>
      <c r="G19" s="50">
        <v>4.8300000000000003E-2</v>
      </c>
    </row>
    <row r="20" spans="1:7" x14ac:dyDescent="0.25">
      <c r="A20" t="s">
        <v>645</v>
      </c>
      <c r="B20">
        <v>632.08000000000004</v>
      </c>
      <c r="C20">
        <v>616.36</v>
      </c>
      <c r="D20">
        <v>639.85</v>
      </c>
      <c r="E20">
        <v>615.52</v>
      </c>
      <c r="F20" t="s">
        <v>3717</v>
      </c>
      <c r="G20" s="50">
        <v>2.3E-2</v>
      </c>
    </row>
    <row r="21" spans="1:7" x14ac:dyDescent="0.25">
      <c r="A21" t="s">
        <v>605</v>
      </c>
      <c r="B21">
        <v>645.04999999999995</v>
      </c>
      <c r="C21">
        <v>626.29999999999995</v>
      </c>
      <c r="D21">
        <v>649.48</v>
      </c>
      <c r="E21">
        <v>619.29</v>
      </c>
      <c r="F21" t="s">
        <v>3718</v>
      </c>
      <c r="G21" s="50">
        <v>2.0500000000000001E-2</v>
      </c>
    </row>
    <row r="22" spans="1:7" x14ac:dyDescent="0.25">
      <c r="A22" t="s">
        <v>3694</v>
      </c>
      <c r="B22">
        <v>666.18</v>
      </c>
      <c r="C22">
        <v>637.5</v>
      </c>
      <c r="D22">
        <v>667.34</v>
      </c>
      <c r="E22">
        <v>634.91999999999996</v>
      </c>
      <c r="F22" t="s">
        <v>3719</v>
      </c>
      <c r="G22" s="50">
        <v>3.2800000000000003E-2</v>
      </c>
    </row>
    <row r="23" spans="1:7" x14ac:dyDescent="0.25">
      <c r="A23" t="s">
        <v>527</v>
      </c>
      <c r="B23">
        <v>682.06</v>
      </c>
      <c r="C23">
        <v>663.17</v>
      </c>
      <c r="D23">
        <v>689.7</v>
      </c>
      <c r="E23">
        <v>652.84</v>
      </c>
      <c r="F23" t="s">
        <v>3720</v>
      </c>
      <c r="G23" s="50">
        <v>2.3800000000000002E-2</v>
      </c>
    </row>
    <row r="24" spans="1:7" x14ac:dyDescent="0.25">
      <c r="A24" t="s">
        <v>3697</v>
      </c>
      <c r="B24">
        <v>683.39</v>
      </c>
      <c r="C24">
        <v>685.67</v>
      </c>
      <c r="D24">
        <v>685.8</v>
      </c>
      <c r="E24">
        <v>650.85</v>
      </c>
      <c r="F24" t="s">
        <v>3721</v>
      </c>
      <c r="G24" s="50">
        <v>2E-3</v>
      </c>
    </row>
    <row r="25" spans="1:7" x14ac:dyDescent="0.25">
      <c r="A25" t="s">
        <v>446</v>
      </c>
      <c r="B25">
        <v>681.92</v>
      </c>
      <c r="C25">
        <v>678.81</v>
      </c>
      <c r="D25">
        <v>691.66</v>
      </c>
      <c r="E25">
        <v>671.2</v>
      </c>
      <c r="F25" t="s">
        <v>3721</v>
      </c>
      <c r="G25" s="50">
        <v>-2.2000000000000001E-3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888D-5A2A-4FA3-89C5-037E7B6BBB53}">
  <dimension ref="A1:G31"/>
  <sheetViews>
    <sheetView workbookViewId="0">
      <selection activeCell="F16" sqref="F16"/>
    </sheetView>
  </sheetViews>
  <sheetFormatPr defaultRowHeight="15" x14ac:dyDescent="0.25"/>
  <cols>
    <col min="1" max="1" width="13.28515625" bestFit="1" customWidth="1"/>
    <col min="2" max="2" width="5.42578125" bestFit="1" customWidth="1"/>
    <col min="3" max="3" width="8.7109375" style="7" bestFit="1" customWidth="1"/>
  </cols>
  <sheetData>
    <row r="1" spans="1:7" x14ac:dyDescent="0.25">
      <c r="A1" t="s">
        <v>3625</v>
      </c>
      <c r="B1" t="s">
        <v>3626</v>
      </c>
      <c r="C1" s="7" t="s">
        <v>3627</v>
      </c>
    </row>
    <row r="2" spans="1:7" x14ac:dyDescent="0.25">
      <c r="A2" t="s">
        <v>3628</v>
      </c>
      <c r="B2" t="s">
        <v>2944</v>
      </c>
      <c r="C2">
        <v>7.41</v>
      </c>
      <c r="G2" s="80"/>
    </row>
    <row r="3" spans="1:7" x14ac:dyDescent="0.25">
      <c r="A3" t="s">
        <v>3629</v>
      </c>
      <c r="B3" t="s">
        <v>2944</v>
      </c>
      <c r="C3">
        <v>8.01</v>
      </c>
      <c r="G3" s="80"/>
    </row>
    <row r="4" spans="1:7" x14ac:dyDescent="0.25">
      <c r="A4" t="s">
        <v>3630</v>
      </c>
      <c r="B4" t="s">
        <v>2944</v>
      </c>
      <c r="C4">
        <v>8.32</v>
      </c>
      <c r="G4" s="80"/>
    </row>
    <row r="5" spans="1:7" x14ac:dyDescent="0.25">
      <c r="A5" t="s">
        <v>3631</v>
      </c>
      <c r="B5" t="s">
        <v>2944</v>
      </c>
      <c r="C5">
        <v>8.36</v>
      </c>
      <c r="G5" s="80"/>
    </row>
    <row r="6" spans="1:7" x14ac:dyDescent="0.25">
      <c r="A6" s="79" t="s">
        <v>3632</v>
      </c>
      <c r="B6" s="79" t="s">
        <v>2944</v>
      </c>
      <c r="C6" s="79">
        <v>8.6</v>
      </c>
      <c r="G6" s="80"/>
    </row>
    <row r="7" spans="1:7" x14ac:dyDescent="0.25">
      <c r="A7" t="s">
        <v>3051</v>
      </c>
      <c r="B7" t="s">
        <v>2947</v>
      </c>
      <c r="C7">
        <v>11.8</v>
      </c>
      <c r="G7" s="80"/>
    </row>
    <row r="8" spans="1:7" x14ac:dyDescent="0.25">
      <c r="A8" t="s">
        <v>3633</v>
      </c>
      <c r="B8" t="s">
        <v>2947</v>
      </c>
      <c r="C8">
        <v>12.24</v>
      </c>
      <c r="G8" s="80"/>
    </row>
    <row r="9" spans="1:7" x14ac:dyDescent="0.25">
      <c r="A9" t="s">
        <v>3049</v>
      </c>
      <c r="B9" t="s">
        <v>2944</v>
      </c>
      <c r="C9">
        <v>14.34</v>
      </c>
      <c r="G9" s="80"/>
    </row>
    <row r="10" spans="1:7" x14ac:dyDescent="0.25">
      <c r="A10" t="s">
        <v>3634</v>
      </c>
      <c r="B10" t="s">
        <v>2947</v>
      </c>
      <c r="C10">
        <v>14.45</v>
      </c>
      <c r="G10" s="80"/>
    </row>
    <row r="11" spans="1:7" x14ac:dyDescent="0.25">
      <c r="A11" t="s">
        <v>3635</v>
      </c>
      <c r="B11" t="s">
        <v>2945</v>
      </c>
      <c r="C11">
        <v>15.36</v>
      </c>
      <c r="G11" s="80"/>
    </row>
    <row r="12" spans="1:7" x14ac:dyDescent="0.25">
      <c r="A12" t="s">
        <v>3636</v>
      </c>
      <c r="B12" t="s">
        <v>2945</v>
      </c>
      <c r="C12">
        <v>16.850000000000001</v>
      </c>
      <c r="G12" s="80"/>
    </row>
    <row r="13" spans="1:7" x14ac:dyDescent="0.25">
      <c r="A13" t="s">
        <v>3637</v>
      </c>
      <c r="B13" t="s">
        <v>3638</v>
      </c>
      <c r="C13">
        <v>18.670000000000002</v>
      </c>
      <c r="G13" s="80"/>
    </row>
    <row r="14" spans="1:7" x14ac:dyDescent="0.25">
      <c r="A14" t="s">
        <v>3639</v>
      </c>
      <c r="B14" t="s">
        <v>3640</v>
      </c>
      <c r="C14">
        <v>19.36</v>
      </c>
      <c r="G14" s="80"/>
    </row>
    <row r="15" spans="1:7" x14ac:dyDescent="0.25">
      <c r="A15" t="s">
        <v>3641</v>
      </c>
      <c r="B15" t="s">
        <v>2945</v>
      </c>
      <c r="C15">
        <v>27.15</v>
      </c>
      <c r="G15" s="80"/>
    </row>
    <row r="16" spans="1:7" x14ac:dyDescent="0.25">
      <c r="A16" t="s">
        <v>3642</v>
      </c>
      <c r="B16" t="s">
        <v>2945</v>
      </c>
      <c r="C16">
        <v>28.49</v>
      </c>
      <c r="G16" s="80"/>
    </row>
    <row r="17" spans="1:7" x14ac:dyDescent="0.25">
      <c r="A17" t="s">
        <v>3643</v>
      </c>
      <c r="B17" t="s">
        <v>3640</v>
      </c>
      <c r="C17">
        <v>28.78</v>
      </c>
      <c r="G17" s="80"/>
    </row>
    <row r="18" spans="1:7" x14ac:dyDescent="0.25">
      <c r="A18" t="s">
        <v>3644</v>
      </c>
      <c r="B18" t="s">
        <v>3645</v>
      </c>
      <c r="C18">
        <v>31.96</v>
      </c>
      <c r="G18" s="80"/>
    </row>
    <row r="19" spans="1:7" x14ac:dyDescent="0.25">
      <c r="A19" t="s">
        <v>3646</v>
      </c>
      <c r="B19" t="s">
        <v>2946</v>
      </c>
      <c r="C19">
        <v>32.39</v>
      </c>
      <c r="G19" s="80"/>
    </row>
    <row r="20" spans="1:7" x14ac:dyDescent="0.25">
      <c r="A20" s="79" t="s">
        <v>3647</v>
      </c>
      <c r="B20" s="79" t="s">
        <v>2947</v>
      </c>
      <c r="C20" s="79">
        <v>35.51</v>
      </c>
      <c r="G20" s="80"/>
    </row>
    <row r="21" spans="1:7" x14ac:dyDescent="0.25">
      <c r="A21" t="s">
        <v>3093</v>
      </c>
      <c r="B21" t="s">
        <v>2944</v>
      </c>
      <c r="C21">
        <v>39.6</v>
      </c>
      <c r="G21" s="80"/>
    </row>
    <row r="22" spans="1:7" x14ac:dyDescent="0.25">
      <c r="A22" s="79" t="s">
        <v>3648</v>
      </c>
      <c r="B22" s="79" t="s">
        <v>2945</v>
      </c>
      <c r="C22" s="79">
        <v>41.99</v>
      </c>
      <c r="G22" s="80"/>
    </row>
    <row r="23" spans="1:7" x14ac:dyDescent="0.25">
      <c r="A23" t="s">
        <v>3649</v>
      </c>
      <c r="B23" t="s">
        <v>3650</v>
      </c>
      <c r="C23">
        <v>67.069999999999993</v>
      </c>
      <c r="G23" s="80"/>
    </row>
    <row r="24" spans="1:7" x14ac:dyDescent="0.25">
      <c r="A24" t="s">
        <v>3233</v>
      </c>
      <c r="B24" t="s">
        <v>2946</v>
      </c>
      <c r="C24">
        <v>85.6</v>
      </c>
      <c r="G24" s="80"/>
    </row>
    <row r="25" spans="1:7" x14ac:dyDescent="0.25">
      <c r="A25" t="s">
        <v>3651</v>
      </c>
      <c r="B25" t="s">
        <v>2946</v>
      </c>
      <c r="C25">
        <v>87.04</v>
      </c>
      <c r="G25" s="80"/>
    </row>
    <row r="26" spans="1:7" x14ac:dyDescent="0.25">
      <c r="A26" s="79" t="s">
        <v>2942</v>
      </c>
      <c r="B26" s="79" t="s">
        <v>3550</v>
      </c>
      <c r="C26" s="79">
        <v>87.67</v>
      </c>
      <c r="G26" s="80"/>
    </row>
    <row r="27" spans="1:7" x14ac:dyDescent="0.25">
      <c r="A27" t="s">
        <v>3652</v>
      </c>
      <c r="B27" t="s">
        <v>3653</v>
      </c>
      <c r="C27">
        <v>118.42</v>
      </c>
      <c r="G27" s="80"/>
    </row>
    <row r="28" spans="1:7" x14ac:dyDescent="0.25">
      <c r="A28" t="s">
        <v>3654</v>
      </c>
      <c r="B28" t="s">
        <v>3653</v>
      </c>
      <c r="C28">
        <v>153.56</v>
      </c>
      <c r="G28" s="80"/>
    </row>
    <row r="29" spans="1:7" x14ac:dyDescent="0.25">
      <c r="A29" t="s">
        <v>3655</v>
      </c>
      <c r="B29" t="s">
        <v>3656</v>
      </c>
      <c r="C29">
        <v>242.59</v>
      </c>
      <c r="G29" s="80"/>
    </row>
    <row r="30" spans="1:7" x14ac:dyDescent="0.25">
      <c r="A30" t="s">
        <v>3657</v>
      </c>
      <c r="B30" t="s">
        <v>3658</v>
      </c>
      <c r="C30">
        <v>314.92</v>
      </c>
      <c r="G30" s="80"/>
    </row>
    <row r="31" spans="1:7" x14ac:dyDescent="0.25">
      <c r="A31" t="s">
        <v>3659</v>
      </c>
      <c r="B31" t="s">
        <v>3574</v>
      </c>
      <c r="C31">
        <v>13775.17</v>
      </c>
      <c r="G31" s="8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4C7C5-053E-407B-B792-710F57476AF0}">
  <dimension ref="A1:BR270"/>
  <sheetViews>
    <sheetView topLeftCell="A26" workbookViewId="0">
      <selection activeCell="E11" sqref="E11"/>
    </sheetView>
  </sheetViews>
  <sheetFormatPr defaultRowHeight="15" x14ac:dyDescent="0.25"/>
  <cols>
    <col min="1" max="1" width="60.140625" bestFit="1" customWidth="1"/>
    <col min="2" max="2" width="29.140625" customWidth="1"/>
    <col min="3" max="3" width="35.42578125" bestFit="1" customWidth="1"/>
    <col min="4" max="4" width="15.140625" bestFit="1" customWidth="1"/>
    <col min="5" max="17" width="12.140625" bestFit="1" customWidth="1"/>
    <col min="18" max="20" width="11.42578125" bestFit="1" customWidth="1"/>
    <col min="21" max="23" width="12.140625" bestFit="1" customWidth="1"/>
    <col min="24" max="25" width="11.42578125" bestFit="1" customWidth="1"/>
    <col min="26" max="38" width="12.140625" bestFit="1" customWidth="1"/>
    <col min="39" max="39" width="11.42578125" bestFit="1" customWidth="1"/>
    <col min="40" max="52" width="12.140625" bestFit="1" customWidth="1"/>
    <col min="53" max="53" width="11.42578125" bestFit="1" customWidth="1"/>
    <col min="54" max="69" width="12.140625" bestFit="1" customWidth="1"/>
    <col min="70" max="70" width="5" bestFit="1" customWidth="1"/>
  </cols>
  <sheetData>
    <row r="1" spans="1:70" x14ac:dyDescent="0.25">
      <c r="A1" t="s">
        <v>2948</v>
      </c>
      <c r="B1" t="s">
        <v>2949</v>
      </c>
    </row>
    <row r="2" spans="1:70" x14ac:dyDescent="0.25">
      <c r="A2" t="s">
        <v>2950</v>
      </c>
      <c r="B2" s="77">
        <v>46120</v>
      </c>
    </row>
    <row r="4" spans="1:70" x14ac:dyDescent="0.25">
      <c r="A4" t="s">
        <v>2951</v>
      </c>
      <c r="B4" t="s">
        <v>2952</v>
      </c>
      <c r="C4" t="s">
        <v>2953</v>
      </c>
      <c r="D4" t="s">
        <v>2954</v>
      </c>
      <c r="E4" t="s">
        <v>2955</v>
      </c>
      <c r="F4" t="s">
        <v>2956</v>
      </c>
      <c r="G4" t="s">
        <v>2957</v>
      </c>
      <c r="H4" t="s">
        <v>2958</v>
      </c>
      <c r="I4" t="s">
        <v>2959</v>
      </c>
      <c r="J4" t="s">
        <v>2960</v>
      </c>
      <c r="K4" t="s">
        <v>2961</v>
      </c>
      <c r="L4" t="s">
        <v>2962</v>
      </c>
      <c r="M4" t="s">
        <v>2963</v>
      </c>
      <c r="N4" t="s">
        <v>2964</v>
      </c>
      <c r="O4" t="s">
        <v>2965</v>
      </c>
      <c r="P4" t="s">
        <v>2966</v>
      </c>
      <c r="Q4" t="s">
        <v>2967</v>
      </c>
      <c r="R4" t="s">
        <v>2968</v>
      </c>
      <c r="S4" t="s">
        <v>2969</v>
      </c>
      <c r="T4" t="s">
        <v>2970</v>
      </c>
      <c r="U4" t="s">
        <v>2971</v>
      </c>
      <c r="V4" t="s">
        <v>2972</v>
      </c>
      <c r="W4" t="s">
        <v>2973</v>
      </c>
      <c r="X4" t="s">
        <v>2974</v>
      </c>
      <c r="Y4" t="s">
        <v>2975</v>
      </c>
      <c r="Z4" t="s">
        <v>2976</v>
      </c>
      <c r="AA4" t="s">
        <v>2977</v>
      </c>
      <c r="AB4" t="s">
        <v>2978</v>
      </c>
      <c r="AC4" t="s">
        <v>2979</v>
      </c>
      <c r="AD4" t="s">
        <v>2980</v>
      </c>
      <c r="AE4" t="s">
        <v>2981</v>
      </c>
      <c r="AF4" t="s">
        <v>2982</v>
      </c>
      <c r="AG4" t="s">
        <v>2983</v>
      </c>
      <c r="AH4" t="s">
        <v>2984</v>
      </c>
      <c r="AI4" t="s">
        <v>2985</v>
      </c>
      <c r="AJ4" t="s">
        <v>2986</v>
      </c>
      <c r="AK4" t="s">
        <v>2987</v>
      </c>
      <c r="AL4" t="s">
        <v>2988</v>
      </c>
      <c r="AM4" t="s">
        <v>2989</v>
      </c>
      <c r="AN4" t="s">
        <v>2990</v>
      </c>
      <c r="AO4" t="s">
        <v>2991</v>
      </c>
      <c r="AP4" t="s">
        <v>2992</v>
      </c>
      <c r="AQ4" t="s">
        <v>2993</v>
      </c>
      <c r="AR4" t="s">
        <v>2994</v>
      </c>
      <c r="AS4" t="s">
        <v>2995</v>
      </c>
      <c r="AT4" t="s">
        <v>2996</v>
      </c>
      <c r="AU4" t="s">
        <v>2997</v>
      </c>
      <c r="AV4" t="s">
        <v>2998</v>
      </c>
      <c r="AW4" t="s">
        <v>2999</v>
      </c>
      <c r="AX4" t="s">
        <v>3000</v>
      </c>
      <c r="AY4" t="s">
        <v>3001</v>
      </c>
      <c r="AZ4" t="s">
        <v>3002</v>
      </c>
      <c r="BA4" t="s">
        <v>3003</v>
      </c>
      <c r="BB4" t="s">
        <v>3004</v>
      </c>
      <c r="BC4" t="s">
        <v>3005</v>
      </c>
      <c r="BD4" t="s">
        <v>3006</v>
      </c>
      <c r="BE4" t="s">
        <v>3007</v>
      </c>
      <c r="BF4" t="s">
        <v>3008</v>
      </c>
      <c r="BG4" t="s">
        <v>3009</v>
      </c>
      <c r="BH4" t="s">
        <v>3010</v>
      </c>
      <c r="BI4" t="s">
        <v>3011</v>
      </c>
      <c r="BJ4" t="s">
        <v>3012</v>
      </c>
      <c r="BK4" t="s">
        <v>3013</v>
      </c>
      <c r="BL4" t="s">
        <v>3014</v>
      </c>
      <c r="BM4" t="s">
        <v>3015</v>
      </c>
      <c r="BN4" t="s">
        <v>3016</v>
      </c>
      <c r="BO4" t="s">
        <v>3017</v>
      </c>
      <c r="BP4" t="s">
        <v>3018</v>
      </c>
      <c r="BQ4" t="s">
        <v>3019</v>
      </c>
      <c r="BR4" t="s">
        <v>3020</v>
      </c>
    </row>
    <row r="5" spans="1:70" x14ac:dyDescent="0.25">
      <c r="A5" t="s">
        <v>3021</v>
      </c>
      <c r="B5" t="s">
        <v>3022</v>
      </c>
      <c r="C5" t="s">
        <v>3023</v>
      </c>
      <c r="D5" t="s">
        <v>3024</v>
      </c>
      <c r="AD5">
        <v>4.0322580562862704</v>
      </c>
      <c r="AE5">
        <v>1.07396640826828</v>
      </c>
      <c r="AF5">
        <v>3.6430454581770499</v>
      </c>
      <c r="AG5">
        <v>3.1218684961072198</v>
      </c>
      <c r="AH5">
        <v>3.9916280460457498</v>
      </c>
      <c r="AI5">
        <v>5.8366877515816498</v>
      </c>
      <c r="AJ5">
        <v>5.5555555555557898</v>
      </c>
      <c r="AK5">
        <v>3.8733753699647901</v>
      </c>
      <c r="AL5">
        <v>5.2155599603571003</v>
      </c>
      <c r="AM5">
        <v>6.3110797127043901</v>
      </c>
      <c r="AN5">
        <v>3.36139107320898</v>
      </c>
      <c r="AO5">
        <v>3.2252879721397898</v>
      </c>
      <c r="AP5">
        <v>2.9999480977841202</v>
      </c>
      <c r="AQ5">
        <v>1.8694885361553999</v>
      </c>
      <c r="AR5">
        <v>2.2803719825875302</v>
      </c>
      <c r="AS5">
        <v>4.0440213119051203</v>
      </c>
      <c r="AT5">
        <v>2.8836043031626302</v>
      </c>
      <c r="AU5">
        <v>3.3152467858542298</v>
      </c>
      <c r="AV5">
        <v>3.6563650793841802</v>
      </c>
      <c r="AW5">
        <v>2.5291294693276201</v>
      </c>
      <c r="AX5">
        <v>3.39778677828805</v>
      </c>
      <c r="AY5">
        <v>3.6080243878454099</v>
      </c>
      <c r="AZ5">
        <v>5.3925678447551597</v>
      </c>
      <c r="BA5">
        <v>8.9559870517778393</v>
      </c>
      <c r="BB5">
        <v>-2.13542872046937</v>
      </c>
      <c r="BC5">
        <v>2.0781407186078602</v>
      </c>
      <c r="BD5">
        <v>4.3162974219520303</v>
      </c>
      <c r="BE5">
        <v>0.62747199289337197</v>
      </c>
      <c r="BF5">
        <v>-2.3720652425226101</v>
      </c>
      <c r="BG5">
        <v>0.42144091888121399</v>
      </c>
      <c r="BH5">
        <v>0.47476359734264101</v>
      </c>
      <c r="BI5">
        <v>-0.93119598707955997</v>
      </c>
      <c r="BJ5">
        <v>-1.02828178762012</v>
      </c>
      <c r="BK5">
        <v>3.6260414135296002</v>
      </c>
      <c r="BL5">
        <v>4.2574620433542698</v>
      </c>
    </row>
    <row r="6" spans="1:70" x14ac:dyDescent="0.25">
      <c r="A6" t="s">
        <v>3025</v>
      </c>
      <c r="B6" t="s">
        <v>3026</v>
      </c>
      <c r="C6" t="s">
        <v>3023</v>
      </c>
      <c r="D6" t="s">
        <v>3024</v>
      </c>
      <c r="S6">
        <v>19.598393574214821</v>
      </c>
      <c r="T6">
        <v>15.224098935289074</v>
      </c>
      <c r="U6">
        <v>11.216481293829361</v>
      </c>
      <c r="V6">
        <v>14.238055494268149</v>
      </c>
      <c r="W6">
        <v>12.526892514640055</v>
      </c>
      <c r="X6">
        <v>15.069849824101496</v>
      </c>
      <c r="Y6">
        <v>15.066511537250854</v>
      </c>
      <c r="Z6">
        <v>14.461591074210631</v>
      </c>
      <c r="AA6">
        <v>12.13991769547337</v>
      </c>
      <c r="AB6">
        <v>11.56752438340691</v>
      </c>
      <c r="AC6">
        <v>10.983862571577371</v>
      </c>
      <c r="AD6">
        <v>13.006566421882701</v>
      </c>
      <c r="AE6">
        <v>13.891971645556531</v>
      </c>
      <c r="AF6">
        <v>12.563443221106915</v>
      </c>
      <c r="AG6">
        <v>12.522258065593096</v>
      </c>
      <c r="AH6">
        <v>12.558202070701221</v>
      </c>
      <c r="AI6">
        <v>12.457913978956595</v>
      </c>
      <c r="AJ6">
        <v>17.678100263852269</v>
      </c>
      <c r="AK6">
        <v>16.167612396333901</v>
      </c>
      <c r="AL6">
        <v>13.13566076837237</v>
      </c>
      <c r="AM6">
        <v>14.8528149833969</v>
      </c>
      <c r="AN6">
        <v>12.288591260142571</v>
      </c>
      <c r="AO6">
        <v>9.7065863252649898</v>
      </c>
      <c r="AP6">
        <v>10.249598740306638</v>
      </c>
      <c r="AQ6">
        <v>7.4952554230560704</v>
      </c>
      <c r="AR6">
        <v>7.8198647763086235</v>
      </c>
      <c r="AS6">
        <v>8.6014851485149002</v>
      </c>
      <c r="AT6">
        <v>5.8403539831155724</v>
      </c>
      <c r="AU6">
        <v>8.7637552031354264</v>
      </c>
      <c r="AV6">
        <v>7.4497001400736584</v>
      </c>
      <c r="AW6">
        <v>5.0234206861628534</v>
      </c>
      <c r="AX6">
        <v>8.5580380223977794</v>
      </c>
      <c r="AY6">
        <v>8.8981638021403278</v>
      </c>
      <c r="AZ6">
        <v>8.4507748063499921</v>
      </c>
      <c r="BA6">
        <v>12.56664465951561</v>
      </c>
      <c r="BB6">
        <v>8.9542180239294922</v>
      </c>
      <c r="BC6">
        <v>5.5375379164567624</v>
      </c>
      <c r="BD6">
        <v>8.9712064099578761</v>
      </c>
      <c r="BE6">
        <v>9.1587084316790488</v>
      </c>
      <c r="BF6">
        <v>5.7488313355345433</v>
      </c>
      <c r="BG6">
        <v>5.5258192339251728</v>
      </c>
      <c r="BH6">
        <v>5.0985616436368666</v>
      </c>
      <c r="BI6">
        <v>6.4468772225558411</v>
      </c>
      <c r="BJ6">
        <v>6.2213752893311778</v>
      </c>
      <c r="BK6">
        <v>4.6898064677632991</v>
      </c>
      <c r="BL6">
        <v>4.1028507546115582</v>
      </c>
      <c r="BM6">
        <v>5.1916294209285052</v>
      </c>
      <c r="BN6">
        <v>6.8247270928206687</v>
      </c>
      <c r="BO6">
        <v>10.88347757260175</v>
      </c>
      <c r="BP6">
        <v>7.3991855808062663</v>
      </c>
      <c r="BQ6">
        <v>4.7708573191583294</v>
      </c>
    </row>
    <row r="7" spans="1:70" x14ac:dyDescent="0.25">
      <c r="A7" t="s">
        <v>3027</v>
      </c>
      <c r="B7" t="s">
        <v>3028</v>
      </c>
      <c r="C7" t="s">
        <v>3023</v>
      </c>
      <c r="D7" t="s">
        <v>3024</v>
      </c>
      <c r="AX7">
        <v>12.6862687216715</v>
      </c>
      <c r="AY7">
        <v>6.7845965500165502</v>
      </c>
      <c r="AZ7">
        <v>8.6805707851340497</v>
      </c>
      <c r="BA7">
        <v>26.418664154744299</v>
      </c>
      <c r="BB7">
        <v>-6.8111610889899499</v>
      </c>
      <c r="BC7">
        <v>2.17853752389418</v>
      </c>
      <c r="BD7">
        <v>11.8041858089129</v>
      </c>
      <c r="BE7">
        <v>6.4412128093411702</v>
      </c>
      <c r="BF7">
        <v>7.3857717839785497</v>
      </c>
      <c r="BG7">
        <v>4.67399603536344</v>
      </c>
      <c r="BH7">
        <v>-0.66170916471374097</v>
      </c>
      <c r="BI7">
        <v>4.3838919551391404</v>
      </c>
      <c r="BJ7">
        <v>4.9759515055383199</v>
      </c>
      <c r="BK7">
        <v>0.62614914916884601</v>
      </c>
      <c r="BL7">
        <v>2.3023725151683299</v>
      </c>
      <c r="BM7">
        <v>5.6018879148222398</v>
      </c>
      <c r="BN7">
        <v>5.1332034082496198</v>
      </c>
      <c r="BO7">
        <v>13.712102372006401</v>
      </c>
      <c r="BP7">
        <v>-4.64470870797774</v>
      </c>
      <c r="BQ7">
        <v>-6.60118564073725</v>
      </c>
    </row>
    <row r="8" spans="1:70" x14ac:dyDescent="0.25">
      <c r="A8" t="s">
        <v>3029</v>
      </c>
      <c r="B8" t="s">
        <v>3030</v>
      </c>
      <c r="C8" t="s">
        <v>3023</v>
      </c>
      <c r="D8" t="s">
        <v>3024</v>
      </c>
      <c r="Z8">
        <v>8.7992108330877699</v>
      </c>
      <c r="AA8">
        <v>12.0597652081336</v>
      </c>
      <c r="AB8">
        <v>10.671936758893381</v>
      </c>
      <c r="AC8">
        <v>11.2499999999997</v>
      </c>
      <c r="AD8">
        <v>7.3549257759783</v>
      </c>
      <c r="AE8">
        <v>5.95096499946618</v>
      </c>
      <c r="AF8">
        <v>0.24878855535474498</v>
      </c>
      <c r="AG8">
        <v>2.5236593059939132</v>
      </c>
      <c r="AH8">
        <v>0.86928702260828339</v>
      </c>
      <c r="AI8">
        <v>1.0573613945720874</v>
      </c>
      <c r="AJ8">
        <v>1.741887859326684</v>
      </c>
      <c r="AK8">
        <v>-6.2999006478703448E-2</v>
      </c>
      <c r="AL8">
        <v>0.55345572354191697</v>
      </c>
      <c r="AM8">
        <v>31.841016841638542</v>
      </c>
      <c r="AN8">
        <v>10.563288669181359</v>
      </c>
      <c r="AO8">
        <v>4.9142397263720099</v>
      </c>
      <c r="AP8">
        <v>3.9971417043930231</v>
      </c>
      <c r="AQ8">
        <v>4.4711254385109864</v>
      </c>
      <c r="AR8">
        <v>0.37226617031192782</v>
      </c>
      <c r="AS8">
        <v>2.5307751673799599</v>
      </c>
      <c r="AT8">
        <v>4.3615291400725598</v>
      </c>
      <c r="AU8">
        <v>3.1886933022058939</v>
      </c>
      <c r="AV8">
        <v>1.76090410099628</v>
      </c>
      <c r="AW8">
        <v>0.69433630594575724</v>
      </c>
      <c r="AX8">
        <v>5.6316335135761317</v>
      </c>
      <c r="AY8">
        <v>4.4158998416956088</v>
      </c>
      <c r="AZ8">
        <v>3.6073676798459582</v>
      </c>
      <c r="BA8">
        <v>8.4529762332675471</v>
      </c>
      <c r="BB8">
        <v>3.2824403758932048</v>
      </c>
      <c r="BC8">
        <v>1.784844204771125</v>
      </c>
      <c r="BD8">
        <v>4.018699075344915</v>
      </c>
      <c r="BE8">
        <v>4.578374635159479</v>
      </c>
      <c r="BF8">
        <v>2.4392007610412598</v>
      </c>
      <c r="BG8">
        <v>1.7684358214622327</v>
      </c>
      <c r="BH8">
        <v>2.1308173805879145</v>
      </c>
      <c r="BI8">
        <v>1.4874155075554589</v>
      </c>
      <c r="BJ8">
        <v>1.7254860237473135</v>
      </c>
      <c r="BK8">
        <v>1.7840499483204351</v>
      </c>
      <c r="BL8">
        <v>1.9830922848723178</v>
      </c>
      <c r="BM8">
        <v>2.4903778393194891</v>
      </c>
      <c r="BN8">
        <v>3.745567823330088</v>
      </c>
      <c r="BO8">
        <v>7.949251448485672</v>
      </c>
      <c r="BP8">
        <v>5.2211680132400193</v>
      </c>
      <c r="BQ8">
        <v>3.60804426950566</v>
      </c>
    </row>
    <row r="9" spans="1:70" x14ac:dyDescent="0.25">
      <c r="A9" t="s">
        <v>3031</v>
      </c>
      <c r="B9" t="s">
        <v>3032</v>
      </c>
      <c r="C9" t="s">
        <v>3023</v>
      </c>
      <c r="D9" t="s">
        <v>3024</v>
      </c>
      <c r="AJ9">
        <v>83.783783783783704</v>
      </c>
      <c r="AK9">
        <v>299.50980392156799</v>
      </c>
      <c r="AL9">
        <v>1378.52760736196</v>
      </c>
      <c r="AM9">
        <v>949.79253112033098</v>
      </c>
      <c r="AN9">
        <v>2666.45059288537</v>
      </c>
      <c r="AO9">
        <v>4145.1059822063698</v>
      </c>
      <c r="AP9">
        <v>219.176721172974</v>
      </c>
      <c r="AQ9">
        <v>107.284821528298</v>
      </c>
      <c r="AR9">
        <v>248.19590241286801</v>
      </c>
      <c r="AS9">
        <v>324.99687160131998</v>
      </c>
      <c r="AT9">
        <v>152.561022469298</v>
      </c>
      <c r="AU9">
        <v>108.89743608942899</v>
      </c>
      <c r="AV9">
        <v>98.224143657330401</v>
      </c>
      <c r="AW9">
        <v>43.542106751968603</v>
      </c>
      <c r="AX9">
        <v>22.9535138513939</v>
      </c>
      <c r="AY9">
        <v>13.305210178003099</v>
      </c>
      <c r="AZ9">
        <v>12.251497445948599</v>
      </c>
      <c r="BA9">
        <v>12.475829132639699</v>
      </c>
      <c r="BB9">
        <v>13.7302839288408</v>
      </c>
      <c r="BC9">
        <v>14.469656493257601</v>
      </c>
      <c r="BD9">
        <v>13.4824679218511</v>
      </c>
      <c r="BE9">
        <v>10.2779049218839</v>
      </c>
      <c r="BF9">
        <v>8.7778142933262302</v>
      </c>
      <c r="BG9">
        <v>7.2803873036112003</v>
      </c>
      <c r="BH9">
        <v>9.3559721553378292</v>
      </c>
      <c r="BI9">
        <v>30.694415080671899</v>
      </c>
      <c r="BJ9">
        <v>29.844479901567901</v>
      </c>
      <c r="BK9">
        <v>19.628937970151998</v>
      </c>
      <c r="BL9">
        <v>17.080954143437999</v>
      </c>
      <c r="BM9">
        <v>22.271539247050899</v>
      </c>
      <c r="BN9">
        <v>25.754294884189001</v>
      </c>
      <c r="BO9">
        <v>21.3552901320822</v>
      </c>
      <c r="BP9">
        <v>13.6441017767714</v>
      </c>
      <c r="BQ9">
        <v>28.2404948915772</v>
      </c>
    </row>
    <row r="10" spans="1:70" x14ac:dyDescent="0.25">
      <c r="A10" t="s">
        <v>3033</v>
      </c>
      <c r="B10" t="s">
        <v>3034</v>
      </c>
      <c r="C10" t="s">
        <v>3023</v>
      </c>
      <c r="D10" t="s">
        <v>3024</v>
      </c>
      <c r="AK10">
        <v>226.00542125352499</v>
      </c>
      <c r="AL10">
        <v>85.004751238715599</v>
      </c>
      <c r="AM10">
        <v>22.565052693369498</v>
      </c>
      <c r="AN10">
        <v>7.7932185378921401</v>
      </c>
      <c r="AO10">
        <v>12.725477808710201</v>
      </c>
      <c r="AP10">
        <v>33.180274375395598</v>
      </c>
      <c r="AQ10">
        <v>20.642858867059601</v>
      </c>
      <c r="AR10">
        <v>0.38943765356162802</v>
      </c>
      <c r="AS10">
        <v>5.00181363468103E-2</v>
      </c>
      <c r="AT10">
        <v>3.1075882703143498</v>
      </c>
      <c r="AU10">
        <v>7.7705258343155004</v>
      </c>
      <c r="AV10">
        <v>0.48400261181850202</v>
      </c>
      <c r="AW10">
        <v>2.2800191693809801</v>
      </c>
      <c r="AX10">
        <v>2.3665819567979498</v>
      </c>
      <c r="AY10">
        <v>2.3707283190428399</v>
      </c>
      <c r="AZ10">
        <v>2.93268248162317</v>
      </c>
      <c r="BA10">
        <v>3.32087090389274</v>
      </c>
      <c r="BB10">
        <v>2.26692209450826</v>
      </c>
      <c r="BC10">
        <v>3.6271009151747902</v>
      </c>
      <c r="BD10">
        <v>3.4280713014150099</v>
      </c>
      <c r="BE10">
        <v>2.0315926839529599</v>
      </c>
      <c r="BF10">
        <v>1.9376208020522301</v>
      </c>
      <c r="BG10">
        <v>1.62586504402613</v>
      </c>
      <c r="BH10">
        <v>1.89617402592356</v>
      </c>
      <c r="BI10">
        <v>1.2754316836742301</v>
      </c>
      <c r="BJ10">
        <v>1.9866613317119399</v>
      </c>
      <c r="BK10">
        <v>2.0280596307113399</v>
      </c>
      <c r="BL10">
        <v>1.4110907895424201</v>
      </c>
      <c r="BM10">
        <v>1.6208866171702001</v>
      </c>
      <c r="BN10">
        <v>2.04147163139544</v>
      </c>
      <c r="BO10">
        <v>6.7252027153005898</v>
      </c>
      <c r="BP10">
        <v>4.7583455515003799</v>
      </c>
      <c r="BQ10">
        <v>2.21587375089991</v>
      </c>
    </row>
    <row r="11" spans="1:70" x14ac:dyDescent="0.25">
      <c r="A11" t="s">
        <v>3035</v>
      </c>
      <c r="B11" t="s">
        <v>3036</v>
      </c>
      <c r="C11" t="s">
        <v>3023</v>
      </c>
      <c r="D11" t="s">
        <v>3024</v>
      </c>
    </row>
    <row r="12" spans="1:70" x14ac:dyDescent="0.25">
      <c r="A12" t="s">
        <v>3037</v>
      </c>
      <c r="B12" t="s">
        <v>3038</v>
      </c>
      <c r="C12" t="s">
        <v>3023</v>
      </c>
      <c r="D12" t="s">
        <v>3024</v>
      </c>
    </row>
    <row r="13" spans="1:70" x14ac:dyDescent="0.25">
      <c r="A13" t="s">
        <v>3039</v>
      </c>
      <c r="B13" t="s">
        <v>3040</v>
      </c>
      <c r="C13" t="s">
        <v>3023</v>
      </c>
      <c r="D13" t="s">
        <v>3024</v>
      </c>
      <c r="BA13">
        <v>12.250420244813901</v>
      </c>
      <c r="BB13">
        <v>1.5618131744907</v>
      </c>
      <c r="BC13">
        <v>0.87798328828586703</v>
      </c>
      <c r="BD13">
        <v>0.87734659568511997</v>
      </c>
      <c r="BE13">
        <v>0.66226890026900798</v>
      </c>
      <c r="BF13">
        <v>1.1011183637571</v>
      </c>
      <c r="BG13">
        <v>2.3462686567164202</v>
      </c>
      <c r="BH13">
        <v>4.0699660836159302</v>
      </c>
      <c r="BI13">
        <v>1.6174880890419701</v>
      </c>
      <c r="BJ13">
        <v>1.9668255781884201</v>
      </c>
      <c r="BK13">
        <v>3.06863379251996</v>
      </c>
      <c r="BL13">
        <v>-1.93108114782172</v>
      </c>
      <c r="BM13">
        <v>-2.0794031794094301</v>
      </c>
      <c r="BN13">
        <v>0.179935336174431</v>
      </c>
      <c r="BO13">
        <v>5.2912260437684902</v>
      </c>
      <c r="BP13">
        <v>1.62670837213248</v>
      </c>
      <c r="BQ13">
        <v>1.66336510224894</v>
      </c>
    </row>
    <row r="14" spans="1:70" x14ac:dyDescent="0.25">
      <c r="A14" t="s">
        <v>3041</v>
      </c>
      <c r="B14" t="s">
        <v>3042</v>
      </c>
      <c r="C14" t="s">
        <v>3023</v>
      </c>
      <c r="D14" t="s">
        <v>3024</v>
      </c>
      <c r="BK14">
        <v>34.277223713100319</v>
      </c>
      <c r="BL14">
        <v>53.548304349233902</v>
      </c>
      <c r="BM14">
        <v>42.01509473765087</v>
      </c>
      <c r="BN14">
        <v>48.409378625519913</v>
      </c>
      <c r="BO14">
        <v>72.430757531824042</v>
      </c>
      <c r="BP14">
        <v>133.4889355941749</v>
      </c>
      <c r="BQ14">
        <v>219.883929014578</v>
      </c>
    </row>
    <row r="15" spans="1:70" x14ac:dyDescent="0.25">
      <c r="A15" t="s">
        <v>3043</v>
      </c>
      <c r="B15" t="s">
        <v>3044</v>
      </c>
      <c r="C15" t="s">
        <v>3023</v>
      </c>
      <c r="D15" t="s">
        <v>3024</v>
      </c>
      <c r="AM15">
        <v>3373.7594433629301</v>
      </c>
      <c r="AN15">
        <v>175.95132553458299</v>
      </c>
      <c r="AO15">
        <v>18.681185640035999</v>
      </c>
      <c r="AP15">
        <v>13.960764121791</v>
      </c>
      <c r="AQ15">
        <v>8.6724863238515706</v>
      </c>
      <c r="AR15">
        <v>0.64824576047038496</v>
      </c>
      <c r="AS15">
        <v>-0.79088376893475698</v>
      </c>
      <c r="AT15">
        <v>3.1459046468501999</v>
      </c>
      <c r="AU15">
        <v>1.0600492934166601</v>
      </c>
      <c r="AV15">
        <v>4.7215533660534001</v>
      </c>
      <c r="AW15">
        <v>6.9612613587579499</v>
      </c>
      <c r="AX15">
        <v>0.63892800241009695</v>
      </c>
      <c r="AY15">
        <v>2.8923566245900298</v>
      </c>
      <c r="AZ15">
        <v>4.4073608964451596</v>
      </c>
      <c r="BA15">
        <v>8.9499533535338696</v>
      </c>
      <c r="BB15">
        <v>3.4067668268380098</v>
      </c>
      <c r="BC15">
        <v>8.1763613847395096</v>
      </c>
      <c r="BD15">
        <v>7.6500080785929399</v>
      </c>
      <c r="BE15">
        <v>2.5580200775790698</v>
      </c>
      <c r="BF15">
        <v>5.7896677854465004</v>
      </c>
      <c r="BG15">
        <v>2.98130868933672</v>
      </c>
      <c r="BH15">
        <v>3.7316911926169301</v>
      </c>
      <c r="BI15">
        <v>-1.40360755900899</v>
      </c>
      <c r="BJ15">
        <v>0.96955326881613701</v>
      </c>
      <c r="BK15">
        <v>2.5202338200163701</v>
      </c>
      <c r="BL15">
        <v>1.4434466077069801</v>
      </c>
      <c r="BM15">
        <v>1.2114357783846399</v>
      </c>
      <c r="BN15">
        <v>7.1848362944337003</v>
      </c>
      <c r="BO15">
        <v>8.6409110897385393</v>
      </c>
      <c r="BP15">
        <v>1.9804187761555301</v>
      </c>
      <c r="BQ15">
        <v>0.26951197825912498</v>
      </c>
    </row>
    <row r="16" spans="1:70" x14ac:dyDescent="0.25">
      <c r="A16" t="s">
        <v>3045</v>
      </c>
      <c r="B16" t="s">
        <v>3046</v>
      </c>
      <c r="C16" t="s">
        <v>3023</v>
      </c>
      <c r="D16" t="s">
        <v>3024</v>
      </c>
    </row>
    <row r="17" spans="1:69" x14ac:dyDescent="0.25">
      <c r="A17" t="s">
        <v>3047</v>
      </c>
      <c r="B17" t="s">
        <v>3048</v>
      </c>
      <c r="C17" t="s">
        <v>3023</v>
      </c>
      <c r="D17" t="s">
        <v>3024</v>
      </c>
      <c r="AR17">
        <v>1.12128789571146</v>
      </c>
      <c r="AS17">
        <v>0.77177979690017995</v>
      </c>
      <c r="AT17">
        <v>1.40279663573988</v>
      </c>
      <c r="AU17">
        <v>2.4076580129348999</v>
      </c>
      <c r="AV17">
        <v>1.9935305515245301</v>
      </c>
      <c r="AW17">
        <v>2.0300775785323601</v>
      </c>
      <c r="AX17">
        <v>2.0987519670930799</v>
      </c>
      <c r="AY17">
        <v>1.7877853741912</v>
      </c>
      <c r="AZ17">
        <v>1.4160525940974</v>
      </c>
      <c r="BA17">
        <v>5.3338063982023298</v>
      </c>
      <c r="BB17">
        <v>-0.55015999550891304</v>
      </c>
      <c r="BC17">
        <v>3.37002540220147</v>
      </c>
      <c r="BD17">
        <v>3.4567496723461</v>
      </c>
      <c r="BE17">
        <v>3.3768804433887398</v>
      </c>
      <c r="BF17">
        <v>1.0594978235616901</v>
      </c>
      <c r="BG17">
        <v>1.0894415743535499</v>
      </c>
      <c r="BH17">
        <v>0.96899345882563803</v>
      </c>
      <c r="BI17">
        <v>-0.48943779623049799</v>
      </c>
      <c r="BJ17">
        <v>2.4324878904136198</v>
      </c>
      <c r="BK17">
        <v>1.20715793367007</v>
      </c>
      <c r="BL17">
        <v>1.43135598182983</v>
      </c>
      <c r="BM17">
        <v>0.62598970704671897</v>
      </c>
      <c r="BN17">
        <v>2.06299638545334</v>
      </c>
      <c r="BO17">
        <v>7.5310783463428796</v>
      </c>
      <c r="BP17">
        <v>5.0671386536421199</v>
      </c>
      <c r="BQ17">
        <v>6.19886698842115</v>
      </c>
    </row>
    <row r="18" spans="1:69" x14ac:dyDescent="0.25">
      <c r="A18" t="s">
        <v>3049</v>
      </c>
      <c r="B18" t="s">
        <v>3050</v>
      </c>
      <c r="C18" t="s">
        <v>3023</v>
      </c>
      <c r="D18" t="s">
        <v>3024</v>
      </c>
      <c r="E18">
        <v>3.7288215039735002</v>
      </c>
      <c r="F18">
        <v>2.2875804071930901</v>
      </c>
      <c r="G18">
        <v>-0.31948864146228101</v>
      </c>
      <c r="H18">
        <v>0.64102528590193197</v>
      </c>
      <c r="I18">
        <v>2.86622669884314</v>
      </c>
      <c r="J18">
        <v>3.40558476676981</v>
      </c>
      <c r="K18">
        <v>3.2934114693033001</v>
      </c>
      <c r="L18">
        <v>3.4782591269482399</v>
      </c>
      <c r="M18">
        <v>2.5210071827849401</v>
      </c>
      <c r="N18">
        <v>3.2786869762086601</v>
      </c>
      <c r="O18">
        <v>3.43915186655203</v>
      </c>
      <c r="P18">
        <v>6.1381083873034097</v>
      </c>
      <c r="Q18">
        <v>6.0241040798453502</v>
      </c>
      <c r="R18">
        <v>9.0909043293163396</v>
      </c>
      <c r="S18">
        <v>15.416677269477599</v>
      </c>
      <c r="T18">
        <v>15.162420201161501</v>
      </c>
      <c r="U18">
        <v>13.3229029796495</v>
      </c>
      <c r="V18">
        <v>12.3098267517375</v>
      </c>
      <c r="W18">
        <v>8.0049043937677506</v>
      </c>
      <c r="X18">
        <v>9.1220205687226503</v>
      </c>
      <c r="Y18">
        <v>10.135848939603401</v>
      </c>
      <c r="Z18">
        <v>9.4876613664987204</v>
      </c>
      <c r="AA18">
        <v>11.3518321308515</v>
      </c>
      <c r="AB18">
        <v>10.038900395751901</v>
      </c>
      <c r="AC18">
        <v>3.9604084450384698</v>
      </c>
      <c r="AD18">
        <v>6.7346859987450101</v>
      </c>
      <c r="AE18">
        <v>9.0503532332165406</v>
      </c>
      <c r="AF18">
        <v>8.5330035580208197</v>
      </c>
      <c r="AG18">
        <v>7.2159571679871002</v>
      </c>
      <c r="AH18">
        <v>7.5338985282495496</v>
      </c>
      <c r="AI18">
        <v>7.3330236837526899</v>
      </c>
      <c r="AJ18">
        <v>3.1766687227730799</v>
      </c>
      <c r="AK18">
        <v>1.0122282410597701</v>
      </c>
      <c r="AL18">
        <v>1.75365751770527</v>
      </c>
      <c r="AM18">
        <v>1.96963507094102</v>
      </c>
      <c r="AN18">
        <v>4.6277644536816798</v>
      </c>
      <c r="AO18">
        <v>2.6153790243163102</v>
      </c>
      <c r="AP18">
        <v>0.224895027032537</v>
      </c>
      <c r="AQ18">
        <v>0.86012992201628902</v>
      </c>
      <c r="AR18">
        <v>1.48313946657267</v>
      </c>
      <c r="AS18">
        <v>4.45743705920869</v>
      </c>
      <c r="AT18">
        <v>4.4071299856153301</v>
      </c>
      <c r="AU18">
        <v>2.9815711704745702</v>
      </c>
      <c r="AV18">
        <v>2.7325975483893701</v>
      </c>
      <c r="AW18">
        <v>2.3432568713126498</v>
      </c>
      <c r="AX18">
        <v>2.69182949622197</v>
      </c>
      <c r="AY18">
        <v>3.5552869697298402</v>
      </c>
      <c r="AZ18">
        <v>2.3276144262315901</v>
      </c>
      <c r="BA18">
        <v>4.3502972666409301</v>
      </c>
      <c r="BB18">
        <v>1.77112025681656</v>
      </c>
      <c r="BC18">
        <v>2.9183370211222002</v>
      </c>
      <c r="BD18">
        <v>3.3038478468108101</v>
      </c>
      <c r="BE18">
        <v>1.76278299052228</v>
      </c>
      <c r="BF18">
        <v>2.4498824810925899</v>
      </c>
      <c r="BG18">
        <v>2.4879293208049198</v>
      </c>
      <c r="BH18">
        <v>1.5083680313846299</v>
      </c>
      <c r="BI18">
        <v>1.27699365720306</v>
      </c>
      <c r="BJ18">
        <v>1.94864309065653</v>
      </c>
      <c r="BK18">
        <v>1.9114000281857899</v>
      </c>
      <c r="BL18">
        <v>1.610770929127</v>
      </c>
      <c r="BM18">
        <v>0.846900734607273</v>
      </c>
      <c r="BN18">
        <v>2.8639128470931801</v>
      </c>
      <c r="BO18">
        <v>6.5940965871784103</v>
      </c>
      <c r="BP18">
        <v>5.59701792296707</v>
      </c>
      <c r="BQ18">
        <v>3.16656665428797</v>
      </c>
    </row>
    <row r="19" spans="1:69" x14ac:dyDescent="0.25">
      <c r="A19" t="s">
        <v>3051</v>
      </c>
      <c r="B19" t="s">
        <v>3052</v>
      </c>
      <c r="C19" t="s">
        <v>3023</v>
      </c>
      <c r="D19" t="s">
        <v>3024</v>
      </c>
      <c r="E19">
        <v>1.9457493519864499</v>
      </c>
      <c r="F19">
        <v>3.5422398672756201</v>
      </c>
      <c r="G19">
        <v>4.3817986385118202</v>
      </c>
      <c r="H19">
        <v>2.70876699499822</v>
      </c>
      <c r="I19">
        <v>3.8685635493662902</v>
      </c>
      <c r="J19">
        <v>4.9309163767627302</v>
      </c>
      <c r="K19">
        <v>2.05482059257981</v>
      </c>
      <c r="L19">
        <v>3.9746729289883702</v>
      </c>
      <c r="M19">
        <v>2.7648644733976302</v>
      </c>
      <c r="N19">
        <v>3.08040419539536</v>
      </c>
      <c r="O19">
        <v>4.3728244158213396</v>
      </c>
      <c r="P19">
        <v>4.7042581382869502</v>
      </c>
      <c r="Q19">
        <v>6.3551461268678704</v>
      </c>
      <c r="R19">
        <v>7.5310780382711897</v>
      </c>
      <c r="S19">
        <v>9.5217881974224401</v>
      </c>
      <c r="T19">
        <v>8.4452586391796292</v>
      </c>
      <c r="U19">
        <v>7.3186854510692303</v>
      </c>
      <c r="V19">
        <v>5.4946156812767102</v>
      </c>
      <c r="W19">
        <v>3.5743185755121298</v>
      </c>
      <c r="X19">
        <v>3.7074009635341398</v>
      </c>
      <c r="Y19">
        <v>6.3283253622610296</v>
      </c>
      <c r="Z19">
        <v>6.8030417759925399</v>
      </c>
      <c r="AA19">
        <v>5.4360308251285101</v>
      </c>
      <c r="AB19">
        <v>3.33916453409535</v>
      </c>
      <c r="AC19">
        <v>5.6631857390934401</v>
      </c>
      <c r="AD19">
        <v>3.1895168180519402</v>
      </c>
      <c r="AE19">
        <v>1.7054445673196601</v>
      </c>
      <c r="AF19">
        <v>1.4019527178398301</v>
      </c>
      <c r="AG19">
        <v>1.9157168467124901</v>
      </c>
      <c r="AH19">
        <v>2.5683482902937098</v>
      </c>
      <c r="AI19">
        <v>3.2618723187857301</v>
      </c>
      <c r="AJ19">
        <v>3.3374270347479098</v>
      </c>
      <c r="AK19">
        <v>4.0208478003855399</v>
      </c>
      <c r="AL19">
        <v>3.6317852494317999</v>
      </c>
      <c r="AM19">
        <v>2.9534093676108002</v>
      </c>
      <c r="AN19">
        <v>2.2433663150089802</v>
      </c>
      <c r="AO19">
        <v>1.8609711576043599</v>
      </c>
      <c r="AP19">
        <v>1.3059785722769099</v>
      </c>
      <c r="AQ19">
        <v>0.92246719668084898</v>
      </c>
      <c r="AR19">
        <v>0.56899376588552997</v>
      </c>
      <c r="AS19">
        <v>2.3448628535728</v>
      </c>
      <c r="AT19">
        <v>2.6500007727952899</v>
      </c>
      <c r="AU19">
        <v>1.8103578776412801</v>
      </c>
      <c r="AV19">
        <v>1.35555370896445</v>
      </c>
      <c r="AW19">
        <v>2.0612061803286901</v>
      </c>
      <c r="AX19">
        <v>2.29913785639285</v>
      </c>
      <c r="AY19">
        <v>1.44154851119016</v>
      </c>
      <c r="AZ19">
        <v>2.16855528800756</v>
      </c>
      <c r="BA19">
        <v>3.2159503323987901</v>
      </c>
      <c r="BB19">
        <v>0.50630882769650398</v>
      </c>
      <c r="BC19">
        <v>1.81353438995061</v>
      </c>
      <c r="BD19">
        <v>3.2865791487538001</v>
      </c>
      <c r="BE19">
        <v>2.4856756217701399</v>
      </c>
      <c r="BF19">
        <v>2.0001561690059702</v>
      </c>
      <c r="BG19">
        <v>1.6058118295447299</v>
      </c>
      <c r="BH19">
        <v>0.89656333526031895</v>
      </c>
      <c r="BI19">
        <v>0.89159175265536195</v>
      </c>
      <c r="BJ19">
        <v>2.0812691138558601</v>
      </c>
      <c r="BK19">
        <v>1.9983798142954801</v>
      </c>
      <c r="BL19">
        <v>1.5308956415264301</v>
      </c>
      <c r="BM19">
        <v>1.3819106335185301</v>
      </c>
      <c r="BN19">
        <v>2.7666666666666999</v>
      </c>
      <c r="BO19">
        <v>8.5468699318845704</v>
      </c>
      <c r="BP19">
        <v>7.8141341700283098</v>
      </c>
      <c r="BQ19">
        <v>2.9379157427937499</v>
      </c>
    </row>
    <row r="20" spans="1:69" x14ac:dyDescent="0.25">
      <c r="A20" t="s">
        <v>3053</v>
      </c>
      <c r="B20" t="s">
        <v>3054</v>
      </c>
      <c r="C20" t="s">
        <v>3023</v>
      </c>
      <c r="D20" t="s">
        <v>3024</v>
      </c>
      <c r="AK20">
        <v>-10.63009715762</v>
      </c>
      <c r="AL20">
        <v>1128.00002429404</v>
      </c>
      <c r="AM20">
        <v>1662.21594875899</v>
      </c>
      <c r="AN20">
        <v>411.75964177726701</v>
      </c>
      <c r="AO20">
        <v>19.7948028061898</v>
      </c>
      <c r="AP20">
        <v>3.6743480968472899</v>
      </c>
      <c r="AQ20">
        <v>-0.77269788603316603</v>
      </c>
      <c r="AR20">
        <v>-8.5251700053606303</v>
      </c>
      <c r="AS20">
        <v>1.8050030370435599</v>
      </c>
      <c r="AT20">
        <v>1.5471959015227901</v>
      </c>
      <c r="AU20">
        <v>2.7711647199826999</v>
      </c>
      <c r="AV20">
        <v>2.23386492967049</v>
      </c>
      <c r="AW20">
        <v>6.7089304279778403</v>
      </c>
      <c r="AX20">
        <v>9.6795073191705594</v>
      </c>
      <c r="AY20">
        <v>8.3289248286320898</v>
      </c>
      <c r="AZ20">
        <v>16.6997549618244</v>
      </c>
      <c r="BA20">
        <v>20.849087177271201</v>
      </c>
      <c r="BB20">
        <v>1.45704835970321</v>
      </c>
      <c r="BC20">
        <v>5.7268722466960504</v>
      </c>
      <c r="BD20">
        <v>7.8583333333334</v>
      </c>
      <c r="BE20">
        <v>1.0662133972030201</v>
      </c>
      <c r="BF20">
        <v>2.41571745279419</v>
      </c>
      <c r="BG20">
        <v>1.37344181533176</v>
      </c>
      <c r="BH20">
        <v>4.0276857374272499</v>
      </c>
      <c r="BI20">
        <v>12.443374858437201</v>
      </c>
      <c r="BJ20">
        <v>12.935918418733401</v>
      </c>
      <c r="BK20">
        <v>2.2685469037399901</v>
      </c>
      <c r="BL20">
        <v>2.6105718279921502</v>
      </c>
      <c r="BM20">
        <v>2.7598094700812701</v>
      </c>
      <c r="BN20">
        <v>6.6502991270877798</v>
      </c>
      <c r="BO20">
        <v>13.8522590144267</v>
      </c>
      <c r="BP20">
        <v>8.7854304984908005</v>
      </c>
      <c r="BQ20">
        <v>2.2121718891990101</v>
      </c>
    </row>
    <row r="21" spans="1:69" x14ac:dyDescent="0.25">
      <c r="A21" t="s">
        <v>3055</v>
      </c>
      <c r="B21" t="s">
        <v>3056</v>
      </c>
      <c r="C21" t="s">
        <v>3023</v>
      </c>
      <c r="D21" t="s">
        <v>3024</v>
      </c>
      <c r="K21">
        <v>4.4368600676908798</v>
      </c>
      <c r="L21">
        <v>-1.0893246187425301</v>
      </c>
      <c r="M21">
        <v>6.0572687222251798</v>
      </c>
      <c r="N21">
        <v>4.02388369733122</v>
      </c>
      <c r="O21">
        <v>-0.199650611430225</v>
      </c>
      <c r="P21">
        <v>3.8509627404445399</v>
      </c>
      <c r="Q21">
        <v>3.8285576691733301</v>
      </c>
      <c r="R21">
        <v>6.0064935067530598</v>
      </c>
      <c r="S21">
        <v>15.7223072990937</v>
      </c>
      <c r="T21">
        <v>15.7098745988232</v>
      </c>
      <c r="U21">
        <v>6.8565515736453797</v>
      </c>
      <c r="V21">
        <v>6.8345140413648799</v>
      </c>
      <c r="W21">
        <v>23.895620646930201</v>
      </c>
      <c r="X21">
        <v>36.540756998092498</v>
      </c>
      <c r="Y21">
        <v>2.49851950030166</v>
      </c>
      <c r="Z21">
        <v>12.167394348793801</v>
      </c>
      <c r="AA21">
        <v>5.8680963572266096</v>
      </c>
      <c r="AB21">
        <v>8.1512313562263099</v>
      </c>
      <c r="AC21">
        <v>14.3168697883258</v>
      </c>
      <c r="AD21">
        <v>3.8042868364942399</v>
      </c>
      <c r="AE21">
        <v>1.6756756756754601</v>
      </c>
      <c r="AF21">
        <v>7.1132376395533603</v>
      </c>
      <c r="AG21">
        <v>4.4867976970417596</v>
      </c>
      <c r="AH21">
        <v>11.661599847995801</v>
      </c>
      <c r="AI21">
        <v>7.0021695665112098</v>
      </c>
      <c r="AJ21">
        <v>8.9969387349432992</v>
      </c>
      <c r="AK21">
        <v>1.8233333333330699</v>
      </c>
      <c r="AL21">
        <v>9.6793465806792796</v>
      </c>
      <c r="AM21">
        <v>14.8528149833969</v>
      </c>
      <c r="AN21">
        <v>19.263253638253701</v>
      </c>
      <c r="AO21">
        <v>26.436781609195101</v>
      </c>
      <c r="AP21">
        <v>31.1115898319694</v>
      </c>
      <c r="AQ21">
        <v>12.500410765337801</v>
      </c>
      <c r="AR21">
        <v>3.3854242734045399</v>
      </c>
      <c r="AS21">
        <v>24.432024210215101</v>
      </c>
      <c r="AT21">
        <v>9.2961877134188793</v>
      </c>
      <c r="AU21">
        <v>-1.3656800532805899</v>
      </c>
      <c r="AV21">
        <v>10.6474645658305</v>
      </c>
      <c r="AW21">
        <v>8.1764293748205308</v>
      </c>
      <c r="AX21">
        <v>13.252069918822301</v>
      </c>
      <c r="AY21">
        <v>2.7454200021423998</v>
      </c>
      <c r="AZ21">
        <v>8.4120628577254308</v>
      </c>
      <c r="BA21">
        <v>24.406951035391302</v>
      </c>
      <c r="BB21">
        <v>10.5554355299529</v>
      </c>
      <c r="BC21">
        <v>6.4932659147399301</v>
      </c>
      <c r="BD21">
        <v>9.5921660597966998</v>
      </c>
      <c r="BE21">
        <v>18.161045306544999</v>
      </c>
      <c r="BF21">
        <v>7.93795807492417</v>
      </c>
      <c r="BG21">
        <v>4.4053523418529297</v>
      </c>
      <c r="BH21">
        <v>5.5446889125977901</v>
      </c>
      <c r="BI21">
        <v>5.5576896140096501</v>
      </c>
      <c r="BJ21">
        <v>16.0525353030391</v>
      </c>
      <c r="BK21">
        <v>-2.8146980766846501</v>
      </c>
      <c r="BL21">
        <v>-0.68677217079735797</v>
      </c>
      <c r="BM21">
        <v>7.3211064341552001</v>
      </c>
      <c r="BN21">
        <v>8.4045384507634004</v>
      </c>
      <c r="BO21">
        <v>18.800878666494398</v>
      </c>
      <c r="BP21">
        <v>26.9414835762453</v>
      </c>
      <c r="BQ21">
        <v>20.212492502784698</v>
      </c>
    </row>
    <row r="22" spans="1:69" x14ac:dyDescent="0.25">
      <c r="A22" t="s">
        <v>3057</v>
      </c>
      <c r="B22" t="s">
        <v>3058</v>
      </c>
      <c r="C22" t="s">
        <v>3023</v>
      </c>
      <c r="D22" t="s">
        <v>3024</v>
      </c>
      <c r="E22">
        <v>0.29946725476969399</v>
      </c>
      <c r="F22">
        <v>0.992676260767274</v>
      </c>
      <c r="G22">
        <v>1.4046070354351401</v>
      </c>
      <c r="H22">
        <v>2.1480034133219599</v>
      </c>
      <c r="I22">
        <v>4.16876058564364</v>
      </c>
      <c r="J22">
        <v>4.0652013747465503</v>
      </c>
      <c r="K22">
        <v>4.1743476185299997</v>
      </c>
      <c r="L22">
        <v>2.73030268590901</v>
      </c>
      <c r="M22">
        <v>2.7014498293135398</v>
      </c>
      <c r="N22">
        <v>3.7539922905328398</v>
      </c>
      <c r="O22">
        <v>3.9084723847190399</v>
      </c>
      <c r="P22">
        <v>4.3436285461210096</v>
      </c>
      <c r="Q22">
        <v>5.4484312843807503</v>
      </c>
      <c r="R22">
        <v>6.9552800871991396</v>
      </c>
      <c r="S22">
        <v>12.6778877513451</v>
      </c>
      <c r="T22">
        <v>12.768198592051499</v>
      </c>
      <c r="U22">
        <v>9.06860981054961</v>
      </c>
      <c r="V22">
        <v>7.0960005913259803</v>
      </c>
      <c r="W22">
        <v>4.47059331592944</v>
      </c>
      <c r="X22">
        <v>4.4690839490048599</v>
      </c>
      <c r="Y22">
        <v>6.6486882965535203</v>
      </c>
      <c r="Z22">
        <v>7.62748656814271</v>
      </c>
      <c r="AA22">
        <v>8.7265490655547104</v>
      </c>
      <c r="AB22">
        <v>7.66160983743882</v>
      </c>
      <c r="AC22">
        <v>6.3417749100912699</v>
      </c>
      <c r="AD22">
        <v>4.8687339949694</v>
      </c>
      <c r="AE22">
        <v>1.2943681910247999</v>
      </c>
      <c r="AF22">
        <v>1.5533826131494499</v>
      </c>
      <c r="AG22">
        <v>1.1609349341533099</v>
      </c>
      <c r="AH22">
        <v>3.1070506511109302</v>
      </c>
      <c r="AI22">
        <v>3.4483121796180698</v>
      </c>
      <c r="AJ22">
        <v>3.2153106926080901</v>
      </c>
      <c r="AK22">
        <v>2.4279556716461501</v>
      </c>
      <c r="AL22">
        <v>2.7544264347346199</v>
      </c>
      <c r="AM22">
        <v>2.3775408447639998</v>
      </c>
      <c r="AN22">
        <v>1.46796699090271</v>
      </c>
      <c r="AO22">
        <v>2.0770210735067498</v>
      </c>
      <c r="AP22">
        <v>1.6281604951295401</v>
      </c>
      <c r="AQ22">
        <v>0.94925028835060998</v>
      </c>
      <c r="AR22">
        <v>1.12084823417847</v>
      </c>
      <c r="AS22">
        <v>2.5445177619089998</v>
      </c>
      <c r="AT22">
        <v>2.4692582308608202</v>
      </c>
      <c r="AU22">
        <v>1.6452143617535999</v>
      </c>
      <c r="AV22">
        <v>1.5889639997037099</v>
      </c>
      <c r="AW22">
        <v>2.0972831123931499</v>
      </c>
      <c r="AX22">
        <v>2.78143263670029</v>
      </c>
      <c r="AY22">
        <v>1.7912077007045299</v>
      </c>
      <c r="AZ22">
        <v>1.82305630026809</v>
      </c>
      <c r="BA22">
        <v>4.4894442050840402</v>
      </c>
      <c r="BB22">
        <v>-5.3145674125417597E-2</v>
      </c>
      <c r="BC22">
        <v>2.18929920422458</v>
      </c>
      <c r="BD22">
        <v>3.5320821072273998</v>
      </c>
      <c r="BE22">
        <v>2.8396634344589899</v>
      </c>
      <c r="BF22">
        <v>1.1130959402753899</v>
      </c>
      <c r="BG22">
        <v>0.340002833356921</v>
      </c>
      <c r="BH22">
        <v>0.56142915279015704</v>
      </c>
      <c r="BI22">
        <v>1.97385264653162</v>
      </c>
      <c r="BJ22">
        <v>2.1259708600261602</v>
      </c>
      <c r="BK22">
        <v>2.0531649986517699</v>
      </c>
      <c r="BL22">
        <v>1.43681956996438</v>
      </c>
      <c r="BM22">
        <v>0.74079181222034296</v>
      </c>
      <c r="BN22">
        <v>2.4402485114408399</v>
      </c>
      <c r="BO22">
        <v>9.5975117287249994</v>
      </c>
      <c r="BP22">
        <v>4.0490107761394096</v>
      </c>
      <c r="BQ22">
        <v>3.1434913650004099</v>
      </c>
    </row>
    <row r="23" spans="1:69" x14ac:dyDescent="0.25">
      <c r="A23" t="s">
        <v>3059</v>
      </c>
      <c r="B23" t="s">
        <v>3060</v>
      </c>
      <c r="C23" t="s">
        <v>3023</v>
      </c>
      <c r="D23" t="s">
        <v>3024</v>
      </c>
      <c r="AL23">
        <v>0.44059921493179299</v>
      </c>
      <c r="AM23">
        <v>38.530866166853698</v>
      </c>
      <c r="AN23">
        <v>14.462548218089401</v>
      </c>
      <c r="AO23">
        <v>4.9142397263720099</v>
      </c>
      <c r="AP23">
        <v>3.46629590564776</v>
      </c>
      <c r="AQ23">
        <v>5.7533145841706403</v>
      </c>
      <c r="AR23">
        <v>0.326722893396866</v>
      </c>
      <c r="AS23">
        <v>4.16540442290282</v>
      </c>
      <c r="AT23">
        <v>3.9842954776789301</v>
      </c>
      <c r="AU23">
        <v>2.4891623549154098</v>
      </c>
      <c r="AV23">
        <v>1.48724246145441</v>
      </c>
      <c r="AW23">
        <v>0.87389083086849895</v>
      </c>
      <c r="AX23">
        <v>5.3645208583234201</v>
      </c>
      <c r="AY23">
        <v>3.7821769654037398</v>
      </c>
      <c r="AZ23">
        <v>1.29806813334152</v>
      </c>
      <c r="BA23">
        <v>7.9472987606785397</v>
      </c>
      <c r="BB23">
        <v>0.89607235574906896</v>
      </c>
      <c r="BC23">
        <v>2.2078353253652301</v>
      </c>
      <c r="BD23">
        <v>2.7042390774728</v>
      </c>
      <c r="BE23">
        <v>6.7446825334071203</v>
      </c>
      <c r="BF23">
        <v>0.42888888888888299</v>
      </c>
      <c r="BG23">
        <v>-0.54875755094818002</v>
      </c>
      <c r="BH23">
        <v>0.21878592353624501</v>
      </c>
      <c r="BI23">
        <v>-0.79331014578562398</v>
      </c>
      <c r="BJ23">
        <v>4.32648555103608E-2</v>
      </c>
      <c r="BK23">
        <v>0.91917071788605298</v>
      </c>
      <c r="BL23">
        <v>0.73284937124106597</v>
      </c>
      <c r="BM23">
        <v>3.02272119663759</v>
      </c>
      <c r="BN23">
        <v>1.73353962694035</v>
      </c>
      <c r="BO23">
        <v>1.35077863583527</v>
      </c>
      <c r="BP23">
        <v>2.73870078406074</v>
      </c>
      <c r="BQ23">
        <v>1.16093089640415</v>
      </c>
    </row>
    <row r="24" spans="1:69" x14ac:dyDescent="0.25">
      <c r="A24" t="s">
        <v>3061</v>
      </c>
      <c r="B24" t="s">
        <v>3062</v>
      </c>
      <c r="C24" t="s">
        <v>3023</v>
      </c>
      <c r="D24" t="s">
        <v>3024</v>
      </c>
      <c r="E24">
        <v>7.7881619937688296</v>
      </c>
      <c r="F24">
        <v>18.562138728107801</v>
      </c>
      <c r="G24">
        <v>1.6759095614017501</v>
      </c>
      <c r="H24">
        <v>5.5742028291508801</v>
      </c>
      <c r="I24">
        <v>1.84512319774996</v>
      </c>
      <c r="J24">
        <v>-0.730252522661333</v>
      </c>
      <c r="K24">
        <v>2.3641060198333901</v>
      </c>
      <c r="L24">
        <v>-4.33375390856905</v>
      </c>
      <c r="M24">
        <v>-0.28671368777001</v>
      </c>
      <c r="N24">
        <v>9.6555293576211696</v>
      </c>
      <c r="O24">
        <v>1.7726033145133699</v>
      </c>
      <c r="P24">
        <v>2.06121817995228</v>
      </c>
      <c r="Q24">
        <v>-2.9233565586795098</v>
      </c>
      <c r="R24">
        <v>7.6038903625429697</v>
      </c>
      <c r="S24">
        <v>8.7196094542842193</v>
      </c>
      <c r="T24">
        <v>18.756946605863401</v>
      </c>
      <c r="U24">
        <v>-8.4007187782054498</v>
      </c>
      <c r="V24">
        <v>29.9861042997141</v>
      </c>
      <c r="W24">
        <v>8.2691400721404609</v>
      </c>
      <c r="X24">
        <v>14.9934659503595</v>
      </c>
      <c r="Y24">
        <v>12.2026364968298</v>
      </c>
      <c r="Z24">
        <v>7.55570560440938</v>
      </c>
      <c r="AA24">
        <v>12.0597652081336</v>
      </c>
      <c r="AB24">
        <v>8.1537627742042602</v>
      </c>
      <c r="AC24">
        <v>4.8469576818608404</v>
      </c>
      <c r="AD24">
        <v>6.9060578214046604</v>
      </c>
      <c r="AE24">
        <v>-2.6117429247678299</v>
      </c>
      <c r="AF24">
        <v>-2.6817842351159502</v>
      </c>
      <c r="AG24">
        <v>4.2556160178594098</v>
      </c>
      <c r="AH24">
        <v>-0.48179871520333301</v>
      </c>
      <c r="AI24">
        <v>-0.50430338891891202</v>
      </c>
      <c r="AJ24">
        <v>2.1626005271342299</v>
      </c>
      <c r="AK24">
        <v>-1.99113580736894</v>
      </c>
      <c r="AL24">
        <v>0.55345572354191697</v>
      </c>
      <c r="AM24">
        <v>25.177876224996201</v>
      </c>
      <c r="AN24">
        <v>7.4588449782832402</v>
      </c>
      <c r="AO24">
        <v>6.0978043912174096</v>
      </c>
      <c r="AP24">
        <v>2.3186906217668302</v>
      </c>
      <c r="AQ24">
        <v>5.0843334414532402</v>
      </c>
      <c r="AR24">
        <v>-1.07261362759533</v>
      </c>
      <c r="AS24">
        <v>-0.30421216848680199</v>
      </c>
      <c r="AT24">
        <v>5.0074329082237297</v>
      </c>
      <c r="AU24">
        <v>2.1756948066460802</v>
      </c>
      <c r="AV24">
        <v>2.0345657405381501</v>
      </c>
      <c r="AW24">
        <v>-0.40022870211545097</v>
      </c>
      <c r="AX24">
        <v>6.4150401836968403</v>
      </c>
      <c r="AY24">
        <v>2.33310856372219</v>
      </c>
      <c r="AZ24">
        <v>-0.230627306273049</v>
      </c>
      <c r="BA24">
        <v>10.659797899742401</v>
      </c>
      <c r="BB24">
        <v>2.6081766636831398</v>
      </c>
      <c r="BC24">
        <v>-0.76423073467676805</v>
      </c>
      <c r="BD24">
        <v>2.7597672485453399</v>
      </c>
      <c r="BE24">
        <v>3.8181524025238001</v>
      </c>
      <c r="BF24">
        <v>0.53373850709053605</v>
      </c>
      <c r="BG24">
        <v>-0.25808951753529102</v>
      </c>
      <c r="BH24">
        <v>0.72483898107051603</v>
      </c>
      <c r="BI24">
        <v>0.44104144805880902</v>
      </c>
      <c r="BJ24">
        <v>1.4829989716132499</v>
      </c>
      <c r="BK24">
        <v>1.9559430267253199</v>
      </c>
      <c r="BL24">
        <v>-3.2333893398332099</v>
      </c>
      <c r="BM24">
        <v>1.8847006651884699</v>
      </c>
      <c r="BN24">
        <v>3.6532676182550801</v>
      </c>
      <c r="BO24">
        <v>14.2902354303358</v>
      </c>
      <c r="BP24">
        <v>0.74291042866891699</v>
      </c>
      <c r="BQ24">
        <v>4.1908172134452304</v>
      </c>
    </row>
    <row r="25" spans="1:69" x14ac:dyDescent="0.25">
      <c r="A25" t="s">
        <v>3063</v>
      </c>
      <c r="B25" t="s">
        <v>3064</v>
      </c>
      <c r="C25" t="s">
        <v>3023</v>
      </c>
      <c r="D25" t="s">
        <v>3024</v>
      </c>
      <c r="AF25">
        <v>9.8746960912663209</v>
      </c>
      <c r="AG25">
        <v>7.41276595744666</v>
      </c>
      <c r="AH25">
        <v>6.0454797559624298</v>
      </c>
      <c r="AI25">
        <v>6.1267184698145698</v>
      </c>
      <c r="AJ25">
        <v>6.3573641227823403</v>
      </c>
      <c r="AK25">
        <v>3.6340769179849102</v>
      </c>
      <c r="AL25">
        <v>3.0148185998979802</v>
      </c>
      <c r="AM25">
        <v>5.3137400793649698</v>
      </c>
      <c r="AN25">
        <v>10.2978117947206</v>
      </c>
      <c r="AO25">
        <v>2.37712902953223</v>
      </c>
      <c r="AP25">
        <v>5.3056010566880101</v>
      </c>
      <c r="AQ25">
        <v>8.4022379561322804</v>
      </c>
      <c r="AR25">
        <v>6.1066958984195798</v>
      </c>
      <c r="AS25">
        <v>2.2082562093753499</v>
      </c>
      <c r="AT25">
        <v>2.0071737421383999</v>
      </c>
      <c r="AU25">
        <v>3.3325649327191198</v>
      </c>
      <c r="AV25">
        <v>5.6687077344147596</v>
      </c>
      <c r="AW25">
        <v>7.5875363850468904</v>
      </c>
      <c r="AX25">
        <v>7.0466181622203798</v>
      </c>
      <c r="AY25">
        <v>6.7652611705475696</v>
      </c>
      <c r="AZ25">
        <v>9.1069849690538192</v>
      </c>
      <c r="BA25">
        <v>8.90194489465153</v>
      </c>
      <c r="BB25">
        <v>5.4234723617467901</v>
      </c>
      <c r="BC25">
        <v>8.1266763916991707</v>
      </c>
      <c r="BD25">
        <v>11.3951651552399</v>
      </c>
      <c r="BE25">
        <v>6.2175042206928302</v>
      </c>
      <c r="BF25">
        <v>7.5304064091317198</v>
      </c>
      <c r="BG25">
        <v>6.9916388922084796</v>
      </c>
      <c r="BH25">
        <v>6.1942802298498298</v>
      </c>
      <c r="BI25">
        <v>5.5135257269299496</v>
      </c>
      <c r="BJ25">
        <v>5.70207015717238</v>
      </c>
      <c r="BK25">
        <v>5.5436213948647604</v>
      </c>
      <c r="BL25">
        <v>5.5919963993062902</v>
      </c>
      <c r="BM25">
        <v>5.6910747474621104</v>
      </c>
      <c r="BN25">
        <v>5.54565430773473</v>
      </c>
      <c r="BO25">
        <v>7.6969543717689799</v>
      </c>
      <c r="BP25">
        <v>9.8835030377920994</v>
      </c>
      <c r="BQ25">
        <v>10.4657482763412</v>
      </c>
    </row>
    <row r="26" spans="1:69" x14ac:dyDescent="0.25">
      <c r="A26" t="s">
        <v>3065</v>
      </c>
      <c r="B26" t="s">
        <v>3066</v>
      </c>
      <c r="C26" t="s">
        <v>3023</v>
      </c>
      <c r="D26" t="s">
        <v>3024</v>
      </c>
      <c r="AE26">
        <v>2.6999999999998598</v>
      </c>
      <c r="AF26">
        <v>2.7263875365141699</v>
      </c>
      <c r="AG26">
        <v>2.3696682464454399</v>
      </c>
      <c r="AH26">
        <v>6.38888888888882</v>
      </c>
      <c r="AI26">
        <v>23.8000000000002</v>
      </c>
      <c r="AJ26">
        <v>338.44911147011101</v>
      </c>
      <c r="AK26">
        <v>91.297932726930298</v>
      </c>
      <c r="AL26">
        <v>72.878791386633296</v>
      </c>
      <c r="AM26">
        <v>96.057338268650497</v>
      </c>
      <c r="AN26">
        <v>62.054833683799203</v>
      </c>
      <c r="AO26">
        <v>121.60754244925</v>
      </c>
      <c r="AP26">
        <v>1058.3735592197299</v>
      </c>
      <c r="AQ26">
        <v>18.672204442064</v>
      </c>
      <c r="AR26">
        <v>2.5730428189021199</v>
      </c>
      <c r="AS26">
        <v>10.3162621289989</v>
      </c>
      <c r="AT26">
        <v>7.3609392723184</v>
      </c>
      <c r="AU26">
        <v>5.8101436572182497</v>
      </c>
      <c r="AV26">
        <v>2.34864169582757</v>
      </c>
      <c r="AW26">
        <v>6.14713074246266</v>
      </c>
      <c r="AX26">
        <v>5.0388380711191001</v>
      </c>
      <c r="AY26">
        <v>7.2615946276994601</v>
      </c>
      <c r="AZ26">
        <v>8.4025341900589297</v>
      </c>
      <c r="BA26">
        <v>12.348719599401999</v>
      </c>
      <c r="BB26">
        <v>2.7532022391481901</v>
      </c>
      <c r="BC26">
        <v>2.43899060504117</v>
      </c>
      <c r="BD26">
        <v>4.21990346601872</v>
      </c>
      <c r="BE26">
        <v>2.9545682983101198</v>
      </c>
      <c r="BF26">
        <v>0.890093540913096</v>
      </c>
      <c r="BG26">
        <v>-1.4181838026483899</v>
      </c>
      <c r="BH26">
        <v>-0.104633261008479</v>
      </c>
      <c r="BI26">
        <v>-0.79864988645361701</v>
      </c>
      <c r="BJ26">
        <v>2.0615961944314098</v>
      </c>
      <c r="BK26">
        <v>2.8145447382483799</v>
      </c>
      <c r="BL26">
        <v>3.10372944796771</v>
      </c>
      <c r="BM26">
        <v>1.6724409685575601</v>
      </c>
      <c r="BN26">
        <v>3.2977443529950601</v>
      </c>
      <c r="BO26">
        <v>15.3252589264367</v>
      </c>
      <c r="BP26">
        <v>9.4428414008856407</v>
      </c>
      <c r="BQ26">
        <v>2.4465194300607802</v>
      </c>
    </row>
    <row r="27" spans="1:69" x14ac:dyDescent="0.25">
      <c r="A27" t="s">
        <v>3067</v>
      </c>
      <c r="B27" t="s">
        <v>3068</v>
      </c>
      <c r="C27" t="s">
        <v>3023</v>
      </c>
      <c r="D27" t="s">
        <v>3024</v>
      </c>
      <c r="K27">
        <v>2.1344717185223998</v>
      </c>
      <c r="L27">
        <v>4.2580982230929001</v>
      </c>
      <c r="M27">
        <v>3.2573289902446101</v>
      </c>
      <c r="N27">
        <v>-0.19412763892391899</v>
      </c>
      <c r="O27">
        <v>1.62898127839351</v>
      </c>
      <c r="P27">
        <v>5.7894736849840402</v>
      </c>
      <c r="Q27">
        <v>5.08819538648814</v>
      </c>
      <c r="R27">
        <v>14.3318269849978</v>
      </c>
      <c r="S27">
        <v>24.392998306179798</v>
      </c>
      <c r="T27">
        <v>16.1597821153706</v>
      </c>
      <c r="U27">
        <v>22.495766575963899</v>
      </c>
      <c r="V27">
        <v>17.731120894237201</v>
      </c>
      <c r="W27">
        <v>15.785537594198599</v>
      </c>
      <c r="X27">
        <v>2.2059919511676598</v>
      </c>
      <c r="Y27">
        <v>3.8695250594150199</v>
      </c>
      <c r="Z27">
        <v>11.344596808397499</v>
      </c>
      <c r="AA27">
        <v>8.8857130847145793</v>
      </c>
      <c r="AB27">
        <v>2.9723991507507201</v>
      </c>
      <c r="AC27">
        <v>0.32239925023532601</v>
      </c>
      <c r="AD27">
        <v>-2.6359693029696998</v>
      </c>
      <c r="AE27">
        <v>-2.2960932141955999</v>
      </c>
      <c r="AF27">
        <v>-1.7450017537706</v>
      </c>
      <c r="AG27">
        <v>0.30343596608657702</v>
      </c>
      <c r="AH27">
        <v>1.4858973218257101</v>
      </c>
      <c r="AI27">
        <v>0.92933543748909198</v>
      </c>
      <c r="AJ27">
        <v>0.76441973592760804</v>
      </c>
      <c r="AK27">
        <v>-0.17241379310331201</v>
      </c>
      <c r="AL27">
        <v>2.5388601036269498</v>
      </c>
      <c r="AM27">
        <v>0.81691089775977799</v>
      </c>
      <c r="AN27">
        <v>2.7040347506470401</v>
      </c>
      <c r="AO27">
        <v>-0.452227382530347</v>
      </c>
      <c r="AP27">
        <v>2.4315513395592601</v>
      </c>
      <c r="AQ27">
        <v>-0.366533864541774</v>
      </c>
      <c r="AR27">
        <v>-1.2875879718490899</v>
      </c>
      <c r="AS27">
        <v>-0.70485295309078899</v>
      </c>
      <c r="AT27">
        <v>-1.2075718015665899</v>
      </c>
      <c r="AU27">
        <v>-0.49554013875115399</v>
      </c>
      <c r="AV27">
        <v>1.5936254980078599</v>
      </c>
      <c r="AW27">
        <v>2.3529411764706101</v>
      </c>
      <c r="AX27">
        <v>2.5862068965517202</v>
      </c>
      <c r="AY27">
        <v>2.00746965452849</v>
      </c>
      <c r="AZ27">
        <v>3.2566666666670301</v>
      </c>
      <c r="BA27">
        <v>3.5260031636372098</v>
      </c>
      <c r="BB27">
        <v>2.7955128355041099</v>
      </c>
      <c r="BC27">
        <v>1.96188468334623</v>
      </c>
      <c r="BD27">
        <v>-0.40004069748808002</v>
      </c>
      <c r="BE27">
        <v>2.7573966996297901</v>
      </c>
      <c r="BF27">
        <v>3.30001156888442</v>
      </c>
      <c r="BG27">
        <v>2.6475532124618799</v>
      </c>
      <c r="BH27">
        <v>1.84862742374976</v>
      </c>
      <c r="BI27">
        <v>2.7867934760204398</v>
      </c>
      <c r="BJ27">
        <v>1.38671830576406</v>
      </c>
      <c r="BK27">
        <v>2.0876693804697801</v>
      </c>
      <c r="BL27">
        <v>1.0058200470213601</v>
      </c>
      <c r="BM27">
        <v>-2.3177062933137802</v>
      </c>
      <c r="BN27">
        <v>-0.60631938514085004</v>
      </c>
      <c r="BO27">
        <v>3.6257410430448198</v>
      </c>
      <c r="BP27">
        <v>7.4620678219225495E-2</v>
      </c>
      <c r="BQ27">
        <v>0.91963545981765105</v>
      </c>
    </row>
    <row r="28" spans="1:69" x14ac:dyDescent="0.25">
      <c r="A28" t="s">
        <v>3069</v>
      </c>
      <c r="B28" t="s">
        <v>3070</v>
      </c>
      <c r="C28" t="s">
        <v>3023</v>
      </c>
      <c r="D28" t="s">
        <v>3024</v>
      </c>
      <c r="L28">
        <v>5.4377564990479703</v>
      </c>
      <c r="M28">
        <v>4.5410314628756199</v>
      </c>
      <c r="N28">
        <v>8.9357741228943404</v>
      </c>
      <c r="O28">
        <v>6.1520934213004796</v>
      </c>
      <c r="P28">
        <v>4.6149718266825097</v>
      </c>
      <c r="Q28">
        <v>6.8308113190236899</v>
      </c>
      <c r="R28">
        <v>5.4817541616989702</v>
      </c>
      <c r="S28">
        <v>13.071845838701201</v>
      </c>
      <c r="T28">
        <v>10.359634997304999</v>
      </c>
      <c r="U28">
        <v>4.2558365758381003</v>
      </c>
      <c r="V28">
        <v>3.1898763705573998</v>
      </c>
      <c r="W28">
        <v>6.1090703589987303</v>
      </c>
      <c r="X28">
        <v>9.0913932679241292</v>
      </c>
      <c r="Y28">
        <v>12.097837231068199</v>
      </c>
      <c r="Z28">
        <v>11.1144984973891</v>
      </c>
      <c r="AA28">
        <v>6.0126210166749701</v>
      </c>
      <c r="AB28">
        <v>3.99999999999994</v>
      </c>
      <c r="AC28">
        <v>3.9663461538461502</v>
      </c>
      <c r="AD28">
        <v>4.60500963391135</v>
      </c>
      <c r="AE28">
        <v>5.43378154356233</v>
      </c>
      <c r="AF28">
        <v>5.7564640111813503</v>
      </c>
      <c r="AG28">
        <v>4.4024118278676303</v>
      </c>
      <c r="AH28">
        <v>5.3876582278480596</v>
      </c>
      <c r="AI28">
        <v>4.6693191201867599</v>
      </c>
      <c r="AJ28">
        <v>7.1146812020362704</v>
      </c>
      <c r="AK28">
        <v>5.7381988617344701</v>
      </c>
      <c r="AL28">
        <v>2.7228976697059002</v>
      </c>
      <c r="AM28">
        <v>1.39933423745548</v>
      </c>
      <c r="AN28">
        <v>2.06699495410041</v>
      </c>
      <c r="AO28">
        <v>1.37913741223666</v>
      </c>
      <c r="AP28">
        <v>0.54415038337868704</v>
      </c>
      <c r="AQ28">
        <v>1.3366133661337001</v>
      </c>
      <c r="AR28">
        <v>1.2542482602363001</v>
      </c>
      <c r="AS28">
        <v>1.6063294174057801</v>
      </c>
      <c r="AT28">
        <v>2.0449897750511998</v>
      </c>
      <c r="AU28">
        <v>2.17357792508093</v>
      </c>
      <c r="AV28">
        <v>3.0250452625223598</v>
      </c>
      <c r="AW28">
        <v>0.98191403675766198</v>
      </c>
      <c r="AX28">
        <v>1.59160618079802</v>
      </c>
      <c r="AY28">
        <v>2.38982627439254</v>
      </c>
      <c r="AZ28">
        <v>2.4925779493939602</v>
      </c>
      <c r="BA28">
        <v>4.4895599537505904</v>
      </c>
      <c r="BB28">
        <v>2.0627347345268099</v>
      </c>
      <c r="BC28">
        <v>1.3440273839283501</v>
      </c>
      <c r="BD28">
        <v>3.1987814166031998</v>
      </c>
      <c r="BE28">
        <v>1.97336755976254</v>
      </c>
      <c r="BF28">
        <v>0.72241478453055097</v>
      </c>
      <c r="BG28">
        <v>1.51375643050831</v>
      </c>
      <c r="BH28">
        <v>1.8614830286337101</v>
      </c>
      <c r="BI28">
        <v>-0.34637692998939601</v>
      </c>
      <c r="BJ28">
        <v>1.51820700736147</v>
      </c>
      <c r="BK28">
        <v>2.2658634667873501</v>
      </c>
      <c r="BL28">
        <v>2.4912352736804499</v>
      </c>
      <c r="BM28">
        <v>3.8521098005455702E-2</v>
      </c>
      <c r="BN28">
        <v>2.9049126292847798</v>
      </c>
      <c r="BO28">
        <v>5.6054063358304296</v>
      </c>
      <c r="BP28">
        <v>3.0529157896974199</v>
      </c>
      <c r="BQ28">
        <v>0.40916248908328601</v>
      </c>
    </row>
    <row r="29" spans="1:69" x14ac:dyDescent="0.25">
      <c r="A29" t="s">
        <v>3071</v>
      </c>
      <c r="B29" t="s">
        <v>3072</v>
      </c>
      <c r="C29" t="s">
        <v>3023</v>
      </c>
      <c r="D29" t="s">
        <v>3024</v>
      </c>
      <c r="AY29">
        <v>6.1255661562028401</v>
      </c>
      <c r="AZ29">
        <v>1.50077710611541</v>
      </c>
      <c r="BA29">
        <v>7.4270431033295203</v>
      </c>
      <c r="BB29">
        <v>-0.38146428245305603</v>
      </c>
      <c r="BC29">
        <v>1.9962123674588601</v>
      </c>
      <c r="BD29">
        <v>3.6712500000000001</v>
      </c>
      <c r="BE29">
        <v>2.0526745200171699</v>
      </c>
      <c r="BF29">
        <v>-9.3045683831758805E-2</v>
      </c>
      <c r="BG29">
        <v>-0.89719405419433296</v>
      </c>
      <c r="BH29">
        <v>-1.0360230342547401</v>
      </c>
      <c r="BI29">
        <v>-1.5841000000000101</v>
      </c>
      <c r="BJ29">
        <v>0.810133321953038</v>
      </c>
      <c r="BK29">
        <v>1.41710814018033</v>
      </c>
      <c r="BL29">
        <v>0.56278215406123</v>
      </c>
      <c r="BM29">
        <v>-1.0512960076348901</v>
      </c>
      <c r="BN29">
        <v>1.9816390058762201</v>
      </c>
      <c r="BO29">
        <v>14.020844082677099</v>
      </c>
      <c r="BP29">
        <v>6.1059011284827998</v>
      </c>
      <c r="BQ29">
        <v>1.69212733599723</v>
      </c>
    </row>
    <row r="30" spans="1:69" x14ac:dyDescent="0.25">
      <c r="A30" t="s">
        <v>3073</v>
      </c>
      <c r="B30" t="s">
        <v>3074</v>
      </c>
      <c r="C30" t="s">
        <v>3023</v>
      </c>
      <c r="D30" t="s">
        <v>3024</v>
      </c>
      <c r="AL30">
        <v>1190.22923349187</v>
      </c>
      <c r="AM30">
        <v>2221.0165699203899</v>
      </c>
      <c r="AN30">
        <v>709.34603211860599</v>
      </c>
      <c r="AO30">
        <v>52.712076753195397</v>
      </c>
      <c r="AP30">
        <v>63.937366335747797</v>
      </c>
      <c r="AQ30">
        <v>72.869717053535396</v>
      </c>
      <c r="AR30">
        <v>293.678750889772</v>
      </c>
      <c r="AS30">
        <v>168.620235850933</v>
      </c>
      <c r="AT30">
        <v>61.134933161847599</v>
      </c>
      <c r="AU30">
        <v>42.537548134879401</v>
      </c>
      <c r="AV30">
        <v>28.397839913347301</v>
      </c>
      <c r="AW30">
        <v>18.1082424937646</v>
      </c>
      <c r="AX30">
        <v>10.3388794457932</v>
      </c>
      <c r="AY30">
        <v>6.9971290353558402</v>
      </c>
      <c r="AZ30">
        <v>8.4267527350530909</v>
      </c>
      <c r="BA30">
        <v>14.837876482825401</v>
      </c>
      <c r="BB30">
        <v>12.945656341040101</v>
      </c>
      <c r="BC30">
        <v>7.7357480431249996</v>
      </c>
      <c r="BD30">
        <v>53.228698311817404</v>
      </c>
      <c r="BE30">
        <v>59.219736023251798</v>
      </c>
      <c r="BF30">
        <v>18.312261037787302</v>
      </c>
      <c r="BG30">
        <v>18.119554352673401</v>
      </c>
      <c r="BH30">
        <v>13.534489764973401</v>
      </c>
      <c r="BI30">
        <v>11.8365807653496</v>
      </c>
      <c r="BJ30">
        <v>6.0318372517778496</v>
      </c>
      <c r="BK30">
        <v>4.8723022055068901</v>
      </c>
      <c r="BL30">
        <v>5.5981559503985299</v>
      </c>
      <c r="BM30">
        <v>5.5481435745651</v>
      </c>
      <c r="BN30">
        <v>9.4602838962310507</v>
      </c>
      <c r="BO30">
        <v>15.209675274080899</v>
      </c>
      <c r="BP30">
        <v>5.0005990309131203</v>
      </c>
      <c r="BQ30">
        <v>5.7853191042799796</v>
      </c>
    </row>
    <row r="31" spans="1:69" x14ac:dyDescent="0.25">
      <c r="A31" t="s">
        <v>3075</v>
      </c>
      <c r="B31" t="s">
        <v>3076</v>
      </c>
      <c r="C31" t="s">
        <v>3023</v>
      </c>
      <c r="D31" t="s">
        <v>3024</v>
      </c>
      <c r="Z31">
        <v>11.2244897960225</v>
      </c>
      <c r="AA31">
        <v>6.83903252716288</v>
      </c>
      <c r="AB31">
        <v>4.99609679980487</v>
      </c>
      <c r="AC31">
        <v>3.3828996286370701</v>
      </c>
      <c r="AD31">
        <v>6.23716611805549</v>
      </c>
      <c r="AE31">
        <v>0.79977149385895197</v>
      </c>
      <c r="AF31">
        <v>2.0119013884952901</v>
      </c>
      <c r="AG31">
        <v>3.1388888888889399</v>
      </c>
      <c r="AH31">
        <v>2.12765957446807</v>
      </c>
      <c r="AI31">
        <v>3.05907172995785</v>
      </c>
      <c r="AJ31">
        <v>0.76195150080687901</v>
      </c>
      <c r="AK31">
        <v>2.3967007302518799</v>
      </c>
      <c r="AL31">
        <v>1.4725969469367901</v>
      </c>
      <c r="AM31">
        <v>2.5693430464429499</v>
      </c>
      <c r="AN31">
        <v>2.88961584372151</v>
      </c>
      <c r="AO31">
        <v>5.9650209753724202</v>
      </c>
      <c r="AP31">
        <v>1.1490375676053901</v>
      </c>
      <c r="AQ31">
        <v>2.1952625003758999</v>
      </c>
      <c r="AR31">
        <v>2.6213952458274599</v>
      </c>
      <c r="AS31">
        <v>3.0674396693058501</v>
      </c>
      <c r="AT31">
        <v>3.65141786561502</v>
      </c>
      <c r="AU31">
        <v>4.2402666068864496</v>
      </c>
      <c r="AV31">
        <v>2.3180827466310099</v>
      </c>
      <c r="AW31">
        <v>6.3944309974239797</v>
      </c>
      <c r="AX31">
        <v>-1.1043104441190901</v>
      </c>
      <c r="AY31">
        <v>-7.1137677126501302</v>
      </c>
      <c r="AZ31">
        <v>2.3180827464201998</v>
      </c>
      <c r="BA31">
        <v>6.3944310025003297</v>
      </c>
      <c r="BB31">
        <v>-1.10431044864355</v>
      </c>
      <c r="BC31">
        <v>0.91797737880888697</v>
      </c>
      <c r="BD31">
        <v>1.6020561564019999</v>
      </c>
      <c r="BE31">
        <v>1.30058074547858</v>
      </c>
      <c r="BF31">
        <v>0.50974776898322005</v>
      </c>
      <c r="BG31">
        <v>1.2013996448105699</v>
      </c>
      <c r="BH31">
        <v>-0.86158400942774704</v>
      </c>
      <c r="BI31">
        <v>0.66342716791760104</v>
      </c>
      <c r="BJ31">
        <v>1.1476533930581601</v>
      </c>
      <c r="BK31">
        <v>0.26998262264633499</v>
      </c>
      <c r="BL31">
        <v>0.18706938518142399</v>
      </c>
      <c r="BM31">
        <v>0.12143464461489301</v>
      </c>
      <c r="BN31">
        <v>3.2356365923707</v>
      </c>
      <c r="BO31">
        <v>6.2768931944754298</v>
      </c>
      <c r="BP31">
        <v>4.3898401748767402</v>
      </c>
      <c r="BQ31">
        <v>3.2895598595276798</v>
      </c>
    </row>
    <row r="32" spans="1:69" x14ac:dyDescent="0.25">
      <c r="A32" t="s">
        <v>3077</v>
      </c>
      <c r="B32" t="s">
        <v>3078</v>
      </c>
      <c r="C32" t="s">
        <v>3023</v>
      </c>
      <c r="D32" t="s">
        <v>3024</v>
      </c>
    </row>
    <row r="33" spans="1:70" x14ac:dyDescent="0.25">
      <c r="A33" t="s">
        <v>3079</v>
      </c>
      <c r="B33" t="s">
        <v>3080</v>
      </c>
      <c r="C33" t="s">
        <v>3023</v>
      </c>
      <c r="D33" t="s">
        <v>3024</v>
      </c>
      <c r="E33">
        <v>11.5331525756195</v>
      </c>
      <c r="F33">
        <v>7.5614930718389903</v>
      </c>
      <c r="G33">
        <v>5.8793314222529602</v>
      </c>
      <c r="H33">
        <v>-0.70635721455238798</v>
      </c>
      <c r="I33">
        <v>10.181818181818</v>
      </c>
      <c r="J33">
        <v>2.8602860286027099</v>
      </c>
      <c r="K33">
        <v>6.9518716577540403</v>
      </c>
      <c r="L33">
        <v>11.1999999990001</v>
      </c>
      <c r="M33">
        <v>5.4706235016229803</v>
      </c>
      <c r="N33">
        <v>2.2097484725132399</v>
      </c>
      <c r="O33">
        <v>3.9555092109976902</v>
      </c>
      <c r="P33">
        <v>3.6746143057503202</v>
      </c>
      <c r="Q33">
        <v>6.5115440115436902</v>
      </c>
      <c r="R33">
        <v>31.486028789161701</v>
      </c>
      <c r="S33">
        <v>62.836075602923799</v>
      </c>
      <c r="T33">
        <v>7.9767460254686497</v>
      </c>
      <c r="U33">
        <v>4.4940116470721598</v>
      </c>
      <c r="V33">
        <v>8.1072555205041397</v>
      </c>
      <c r="W33">
        <v>10.355672275719099</v>
      </c>
      <c r="X33">
        <v>19.7197167787998</v>
      </c>
      <c r="Y33">
        <v>47.241650101842602</v>
      </c>
      <c r="Z33">
        <v>32.133601113342401</v>
      </c>
      <c r="AA33">
        <v>123.53571856532901</v>
      </c>
      <c r="AB33">
        <v>275.58628356036098</v>
      </c>
      <c r="AC33">
        <v>1281.34994174485</v>
      </c>
      <c r="AD33">
        <v>11749.639632143801</v>
      </c>
      <c r="AE33">
        <v>276.335967563201</v>
      </c>
      <c r="AF33">
        <v>14.5786984489191</v>
      </c>
      <c r="AG33">
        <v>16.002091054939001</v>
      </c>
      <c r="AH33">
        <v>15.173468112573101</v>
      </c>
      <c r="AI33">
        <v>17.118774604823901</v>
      </c>
      <c r="AJ33">
        <v>21.447069817113999</v>
      </c>
      <c r="AK33">
        <v>12.0603236018289</v>
      </c>
      <c r="AL33">
        <v>8.5278769568800197</v>
      </c>
      <c r="AM33">
        <v>7.8740442146743401</v>
      </c>
      <c r="AN33">
        <v>10.1932067630745</v>
      </c>
      <c r="AO33">
        <v>12.4254866180049</v>
      </c>
      <c r="AP33">
        <v>4.7084443602819199</v>
      </c>
      <c r="AQ33">
        <v>7.6732289567508296</v>
      </c>
      <c r="AR33">
        <v>2.1595162683559699</v>
      </c>
      <c r="AS33">
        <v>4.6082299887259799</v>
      </c>
      <c r="AT33">
        <v>1.5896537787956699</v>
      </c>
      <c r="AU33">
        <v>0.92825885161106902</v>
      </c>
      <c r="AV33">
        <v>3.3372749967153301</v>
      </c>
      <c r="AW33">
        <v>4.4373808010172402</v>
      </c>
      <c r="AX33">
        <v>5.3932310689066298</v>
      </c>
      <c r="AY33">
        <v>4.2823960480256096</v>
      </c>
      <c r="AZ33">
        <v>8.7056092357886907</v>
      </c>
      <c r="BA33">
        <v>14.006810770251899</v>
      </c>
      <c r="BB33">
        <v>3.3464542014201299</v>
      </c>
      <c r="BC33">
        <v>2.5032760584423999</v>
      </c>
      <c r="BD33">
        <v>9.8844641982388293</v>
      </c>
      <c r="BE33">
        <v>4.5156029139937504</v>
      </c>
      <c r="BF33">
        <v>5.7364002371960598</v>
      </c>
      <c r="BG33">
        <v>5.7666007457914299</v>
      </c>
      <c r="BH33">
        <v>4.0596104113564397</v>
      </c>
      <c r="BI33">
        <v>3.6232143176413798</v>
      </c>
      <c r="BJ33">
        <v>2.8227580554717</v>
      </c>
      <c r="BK33">
        <v>2.2720598723015399</v>
      </c>
      <c r="BL33">
        <v>1.8395450496902499</v>
      </c>
      <c r="BM33">
        <v>0.94074215338184897</v>
      </c>
      <c r="BN33">
        <v>0.73738372145227404</v>
      </c>
      <c r="BO33">
        <v>1.7463287294596801</v>
      </c>
      <c r="BP33">
        <v>2.57688800489192</v>
      </c>
      <c r="BQ33">
        <v>5.0997656831742697</v>
      </c>
    </row>
    <row r="34" spans="1:70" x14ac:dyDescent="0.25">
      <c r="A34" t="s">
        <v>3081</v>
      </c>
      <c r="B34" t="s">
        <v>3082</v>
      </c>
      <c r="C34" t="s">
        <v>3023</v>
      </c>
      <c r="D34" t="s">
        <v>3024</v>
      </c>
      <c r="Z34">
        <v>101.725072957927</v>
      </c>
      <c r="AA34">
        <v>100.543359194849</v>
      </c>
      <c r="AB34">
        <v>135.02768223047201</v>
      </c>
      <c r="AC34">
        <v>192.12173313205</v>
      </c>
      <c r="AD34">
        <v>225.98966521189499</v>
      </c>
      <c r="AE34">
        <v>147.142826237604</v>
      </c>
      <c r="AF34">
        <v>228.33616257551199</v>
      </c>
      <c r="AG34">
        <v>629.11450912089697</v>
      </c>
      <c r="AH34">
        <v>1430.7237251472</v>
      </c>
      <c r="AI34">
        <v>2947.7327724829902</v>
      </c>
      <c r="AJ34">
        <v>432.78666192646102</v>
      </c>
      <c r="AK34">
        <v>951.96205305281705</v>
      </c>
      <c r="AL34">
        <v>1927.3807901602599</v>
      </c>
      <c r="AM34">
        <v>2075.8883975732501</v>
      </c>
      <c r="AN34">
        <v>66.007033554248096</v>
      </c>
      <c r="AO34">
        <v>15.7576656002606</v>
      </c>
      <c r="AP34">
        <v>6.9267125162915404</v>
      </c>
      <c r="AQ34">
        <v>3.1950762928005099</v>
      </c>
      <c r="AR34">
        <v>4.85844749902666</v>
      </c>
      <c r="AS34">
        <v>7.0441410594726497</v>
      </c>
      <c r="AT34">
        <v>6.8403590248752302</v>
      </c>
      <c r="AU34">
        <v>8.4501643770833095</v>
      </c>
      <c r="AV34">
        <v>14.714919722814701</v>
      </c>
      <c r="AW34">
        <v>6.5971850998596304</v>
      </c>
      <c r="AX34">
        <v>6.86953720898964</v>
      </c>
      <c r="AY34">
        <v>4.1835681289690898</v>
      </c>
      <c r="AZ34">
        <v>3.6412729910265198</v>
      </c>
      <c r="BA34">
        <v>5.6785939028416799</v>
      </c>
      <c r="BB34">
        <v>4.88803479876798</v>
      </c>
      <c r="BC34">
        <v>5.0387269010807403</v>
      </c>
      <c r="BD34">
        <v>6.6364496221309004</v>
      </c>
      <c r="BE34">
        <v>5.4034991403699699</v>
      </c>
      <c r="BF34">
        <v>6.2043106664009997</v>
      </c>
      <c r="BG34">
        <v>6.3290401551613797</v>
      </c>
      <c r="BH34">
        <v>9.0299010241613598</v>
      </c>
      <c r="BI34">
        <v>8.7391435232939294</v>
      </c>
      <c r="BJ34">
        <v>3.4463733503266898</v>
      </c>
      <c r="BK34">
        <v>3.6648502837672798</v>
      </c>
      <c r="BL34">
        <v>3.7329762121689298</v>
      </c>
      <c r="BM34">
        <v>3.2117680380337599</v>
      </c>
      <c r="BN34">
        <v>8.3016597558567309</v>
      </c>
      <c r="BO34">
        <v>9.2801060895687204</v>
      </c>
      <c r="BP34">
        <v>4.5935628228320304</v>
      </c>
      <c r="BQ34">
        <v>4.3674640765233601</v>
      </c>
    </row>
    <row r="35" spans="1:70" x14ac:dyDescent="0.25">
      <c r="A35" t="s">
        <v>3083</v>
      </c>
      <c r="B35" t="s">
        <v>3084</v>
      </c>
      <c r="C35" t="s">
        <v>3023</v>
      </c>
      <c r="D35" t="s">
        <v>3024</v>
      </c>
      <c r="L35">
        <v>3.6348751533575498</v>
      </c>
      <c r="M35">
        <v>7.4887431868762002</v>
      </c>
      <c r="N35">
        <v>5.8352318660549196</v>
      </c>
      <c r="O35">
        <v>7.2842163736851999</v>
      </c>
      <c r="P35">
        <v>7.4692556635386298</v>
      </c>
      <c r="Q35">
        <v>11.876656227532701</v>
      </c>
      <c r="R35">
        <v>16.855081826021301</v>
      </c>
      <c r="S35">
        <v>38.922928087811101</v>
      </c>
      <c r="T35">
        <v>20.294468762528901</v>
      </c>
      <c r="U35">
        <v>4.9867681111318003</v>
      </c>
      <c r="V35">
        <v>8.3523696993499694</v>
      </c>
      <c r="W35">
        <v>9.4823825910176307</v>
      </c>
      <c r="X35">
        <v>13.1698355431799</v>
      </c>
      <c r="Y35">
        <v>14.4305197203942</v>
      </c>
      <c r="Z35">
        <v>14.567563214688599</v>
      </c>
      <c r="AA35">
        <v>10.3324664370561</v>
      </c>
      <c r="AB35">
        <v>5.2302987828884104</v>
      </c>
      <c r="AC35">
        <v>4.6857973118559597</v>
      </c>
      <c r="AD35">
        <v>3.9151052508279598</v>
      </c>
      <c r="AE35">
        <v>1.3300684516191501</v>
      </c>
      <c r="AF35">
        <v>3.3117311074325402</v>
      </c>
      <c r="AG35">
        <v>4.8588591781404702</v>
      </c>
      <c r="AH35">
        <v>6.1901140684411802</v>
      </c>
      <c r="AI35">
        <v>3.0745727107801799</v>
      </c>
      <c r="AJ35">
        <v>6.2575266327002304</v>
      </c>
      <c r="AK35">
        <v>6.09389302994638</v>
      </c>
      <c r="AL35">
        <v>1.11343933604482</v>
      </c>
      <c r="AM35">
        <v>7.7204388460232198E-2</v>
      </c>
      <c r="AN35">
        <v>1.8788627935723201</v>
      </c>
      <c r="AO35">
        <v>2.3861522284232399</v>
      </c>
      <c r="AP35">
        <v>7.7105387896988304</v>
      </c>
      <c r="AQ35">
        <v>-1.2688866070121301</v>
      </c>
      <c r="AR35">
        <v>1.5600624024960501</v>
      </c>
      <c r="AS35">
        <v>2.43581303489138</v>
      </c>
      <c r="AT35">
        <v>2.5778349043128701</v>
      </c>
      <c r="AU35">
        <v>0.125249458056019</v>
      </c>
      <c r="AV35">
        <v>1.6194331983805299</v>
      </c>
      <c r="AW35">
        <v>1.39442231075691</v>
      </c>
      <c r="AX35">
        <v>6.0821872953504297</v>
      </c>
      <c r="AY35">
        <v>7.3076626282893997</v>
      </c>
      <c r="AZ35">
        <v>4.0342298288506901</v>
      </c>
      <c r="BA35">
        <v>8.1081081081077908</v>
      </c>
      <c r="BB35">
        <v>3.6438618925833701</v>
      </c>
      <c r="BC35">
        <v>5.8242185331186596</v>
      </c>
      <c r="BD35">
        <v>9.4322024017721997</v>
      </c>
      <c r="BE35">
        <v>4.5333475388877398</v>
      </c>
      <c r="BF35">
        <v>1.8141043604909599</v>
      </c>
      <c r="BG35">
        <v>1.7695032208972801</v>
      </c>
      <c r="BH35">
        <v>-1.1127899251095801</v>
      </c>
      <c r="BI35">
        <v>1.2819281306189501</v>
      </c>
      <c r="BJ35">
        <v>4.66018463955995</v>
      </c>
      <c r="BK35">
        <v>3.1060057242058998</v>
      </c>
      <c r="BL35">
        <v>1.67662473276987</v>
      </c>
      <c r="BP35">
        <v>3.1871890547263102</v>
      </c>
      <c r="BQ35">
        <v>1.44643664306159</v>
      </c>
    </row>
    <row r="36" spans="1:70" x14ac:dyDescent="0.25">
      <c r="A36" t="s">
        <v>3085</v>
      </c>
      <c r="B36" t="s">
        <v>3086</v>
      </c>
      <c r="C36" t="s">
        <v>3023</v>
      </c>
      <c r="D36" t="s">
        <v>3024</v>
      </c>
      <c r="Z36">
        <v>9.1370558375633806</v>
      </c>
      <c r="AA36">
        <v>6.3565891472868703</v>
      </c>
      <c r="AB36">
        <v>1.1661807580174901</v>
      </c>
      <c r="AC36">
        <v>3.0739673390972699</v>
      </c>
      <c r="AD36">
        <v>2.35321528424927</v>
      </c>
      <c r="AE36">
        <v>1.78124288641064</v>
      </c>
      <c r="AF36">
        <v>1.2468549063457901</v>
      </c>
      <c r="AG36">
        <v>1.1928429423459601</v>
      </c>
      <c r="AH36">
        <v>1.3043003710982199</v>
      </c>
      <c r="AI36">
        <v>2.13866293163795</v>
      </c>
      <c r="AJ36">
        <v>1.6</v>
      </c>
      <c r="AK36">
        <v>1.27952755905514</v>
      </c>
      <c r="AL36">
        <v>4.25170068027212</v>
      </c>
      <c r="AM36">
        <v>2.4625184494678898</v>
      </c>
      <c r="AN36">
        <v>5.9666413949961203</v>
      </c>
      <c r="AO36">
        <v>1.99613650998077</v>
      </c>
      <c r="AP36">
        <v>1.7115600448933499</v>
      </c>
      <c r="AQ36">
        <v>-0.44137931034489902</v>
      </c>
      <c r="AR36">
        <v>-0.415627597672453</v>
      </c>
      <c r="AS36">
        <v>1.5581524763494501</v>
      </c>
      <c r="AT36">
        <v>0.59589041095898898</v>
      </c>
      <c r="AU36">
        <v>-2.3149724245932002</v>
      </c>
      <c r="AV36">
        <v>0.29999999999996702</v>
      </c>
      <c r="AW36">
        <v>0.81422399468261197</v>
      </c>
      <c r="AX36">
        <v>1.2444371188396499</v>
      </c>
      <c r="AY36">
        <v>0.15988807834512</v>
      </c>
      <c r="AZ36">
        <v>0.96777411952510095</v>
      </c>
      <c r="BA36">
        <v>2.0849802371541499</v>
      </c>
      <c r="BB36">
        <v>1.0357177427161299</v>
      </c>
      <c r="BC36">
        <v>0.35686913201755999</v>
      </c>
      <c r="BD36">
        <v>0.13791156316954001</v>
      </c>
      <c r="BE36">
        <v>0.111766261400306</v>
      </c>
      <c r="BF36">
        <v>0.38920505312363202</v>
      </c>
      <c r="BG36">
        <v>-0.207108731719822</v>
      </c>
      <c r="BH36">
        <v>-0.488347420743522</v>
      </c>
      <c r="BI36">
        <v>-0.27869326575308301</v>
      </c>
      <c r="BJ36">
        <v>-1.2605056462896</v>
      </c>
      <c r="BK36">
        <v>1.0250517929021199</v>
      </c>
      <c r="BL36">
        <v>-0.39052206916552901</v>
      </c>
      <c r="BM36">
        <v>1.94031996607183</v>
      </c>
      <c r="BN36">
        <v>1.7334138845059299</v>
      </c>
      <c r="BO36">
        <v>3.6822503060421501</v>
      </c>
      <c r="BP36">
        <v>0.35706431153689</v>
      </c>
      <c r="BQ36">
        <v>-0.38867416503646002</v>
      </c>
    </row>
    <row r="37" spans="1:70" x14ac:dyDescent="0.25">
      <c r="A37" t="s">
        <v>3087</v>
      </c>
      <c r="B37" t="s">
        <v>3088</v>
      </c>
      <c r="C37" t="s">
        <v>3023</v>
      </c>
      <c r="D37" t="s">
        <v>3024</v>
      </c>
      <c r="Z37">
        <v>9.9723756906077305</v>
      </c>
      <c r="AA37">
        <v>9.8467721677970292</v>
      </c>
      <c r="AB37">
        <v>18.0577787941154</v>
      </c>
      <c r="AC37">
        <v>7.0377066115702398</v>
      </c>
      <c r="AD37">
        <v>1.8820123054650699</v>
      </c>
      <c r="AE37">
        <v>9.9644760213143808</v>
      </c>
      <c r="AF37">
        <v>6.3317719269907897</v>
      </c>
      <c r="AG37">
        <v>10.0967137576586</v>
      </c>
      <c r="AH37">
        <v>8.7798371889803999</v>
      </c>
      <c r="AI37">
        <v>10.0118383223406</v>
      </c>
      <c r="AJ37">
        <v>12.275172943889199</v>
      </c>
      <c r="AK37">
        <v>15.975217361538901</v>
      </c>
      <c r="AL37">
        <v>11.198016587467899</v>
      </c>
      <c r="AM37">
        <v>7.0099535500994996</v>
      </c>
      <c r="AN37">
        <v>9.4875483678936892</v>
      </c>
      <c r="AO37">
        <v>8.7900138193516195</v>
      </c>
      <c r="AP37">
        <v>6.5054871826908602</v>
      </c>
      <c r="AQ37">
        <v>10.5855899892463</v>
      </c>
      <c r="AR37">
        <v>6.7769939355363196</v>
      </c>
      <c r="AS37">
        <v>4.0121208107034203</v>
      </c>
      <c r="AT37">
        <v>3.41478946111594</v>
      </c>
      <c r="AU37">
        <v>2.4553571428571401</v>
      </c>
      <c r="AV37">
        <v>2.5723086169333902</v>
      </c>
      <c r="AW37">
        <v>4.1059369827295704</v>
      </c>
      <c r="AX37">
        <v>5.3126310463774997</v>
      </c>
      <c r="AY37">
        <v>5.0004543802254</v>
      </c>
      <c r="AZ37">
        <v>5.1561113875846196</v>
      </c>
      <c r="BA37">
        <v>8.3271604938271206</v>
      </c>
      <c r="BB37">
        <v>4.3611221911980396</v>
      </c>
      <c r="BC37">
        <v>7.0363831607301801</v>
      </c>
      <c r="BD37">
        <v>8.8489856994680007</v>
      </c>
      <c r="BE37">
        <v>10.919656944683</v>
      </c>
      <c r="BF37">
        <v>8.7763834526821203</v>
      </c>
      <c r="BG37">
        <v>8.2710609394932693</v>
      </c>
      <c r="BH37">
        <v>4.54814395082205</v>
      </c>
      <c r="BI37">
        <v>3.2198868939571699</v>
      </c>
      <c r="BJ37">
        <v>4.9550836698512901</v>
      </c>
      <c r="BK37">
        <v>2.72396386183713</v>
      </c>
      <c r="BL37">
        <v>2.72643037388832</v>
      </c>
      <c r="BM37">
        <v>5.6293652263250697</v>
      </c>
      <c r="BN37">
        <v>7.3468144053352997</v>
      </c>
      <c r="BO37">
        <v>5.6391667139637001</v>
      </c>
      <c r="BP37">
        <v>4.2293441992925098</v>
      </c>
      <c r="BQ37">
        <v>2.76131569624097</v>
      </c>
    </row>
    <row r="38" spans="1:70" x14ac:dyDescent="0.25">
      <c r="A38" t="s">
        <v>3089</v>
      </c>
      <c r="B38" t="s">
        <v>3090</v>
      </c>
      <c r="C38" t="s">
        <v>3023</v>
      </c>
      <c r="D38" t="s">
        <v>3024</v>
      </c>
      <c r="T38">
        <v>11.9747550240953</v>
      </c>
      <c r="U38">
        <v>11.732423613641901</v>
      </c>
      <c r="V38">
        <v>13.168724280107799</v>
      </c>
      <c r="W38">
        <v>9.0439882701036094</v>
      </c>
      <c r="X38">
        <v>11.7362306367885</v>
      </c>
      <c r="Y38">
        <v>13.6324251470894</v>
      </c>
      <c r="Z38">
        <v>16.428026772571101</v>
      </c>
      <c r="AA38">
        <v>11.1372064274689</v>
      </c>
      <c r="AB38">
        <v>10.4771438105237</v>
      </c>
      <c r="AC38">
        <v>8.5774690425190503</v>
      </c>
      <c r="AD38">
        <v>8.0945757997594008</v>
      </c>
      <c r="AE38">
        <v>10.0017155606022</v>
      </c>
      <c r="AF38">
        <v>9.8019338739867408</v>
      </c>
      <c r="AG38">
        <v>8.3516795682121892</v>
      </c>
      <c r="AH38">
        <v>11.575014747328501</v>
      </c>
      <c r="AI38">
        <v>11.396346119955499</v>
      </c>
      <c r="AJ38">
        <v>11.7650160839534</v>
      </c>
      <c r="AK38">
        <v>16.167612396333901</v>
      </c>
      <c r="AL38">
        <v>14.3308033365887</v>
      </c>
      <c r="AM38">
        <v>10.5429209938218</v>
      </c>
      <c r="AN38">
        <v>10.512546081579</v>
      </c>
      <c r="AO38">
        <v>10.082858065210701</v>
      </c>
      <c r="AP38">
        <v>8.7199312714774599</v>
      </c>
      <c r="AQ38">
        <v>6.6613986566575196</v>
      </c>
      <c r="AR38">
        <v>7.7492961920284804</v>
      </c>
      <c r="AS38">
        <v>8.6014851485149002</v>
      </c>
      <c r="AT38">
        <v>6.5590376701486104</v>
      </c>
      <c r="AU38">
        <v>8.0327966252748499</v>
      </c>
      <c r="AV38">
        <v>9.1899026563273907</v>
      </c>
      <c r="AW38">
        <v>6.9457036365467397</v>
      </c>
      <c r="AX38">
        <v>8.6102252854643897</v>
      </c>
      <c r="AY38">
        <v>11.5552187914379</v>
      </c>
      <c r="AZ38">
        <v>7.0809984717269199</v>
      </c>
      <c r="BA38">
        <v>12.7021883920075</v>
      </c>
      <c r="BB38">
        <v>8.0272970310958094</v>
      </c>
      <c r="BC38">
        <v>6.9488765874310303</v>
      </c>
      <c r="BD38">
        <v>8.4598723340858299</v>
      </c>
      <c r="BE38">
        <v>7.5369026109191601</v>
      </c>
      <c r="BF38">
        <v>5.8846070705681601</v>
      </c>
      <c r="BG38">
        <v>4.40225309243427</v>
      </c>
      <c r="BH38">
        <v>3.0620316958055702</v>
      </c>
      <c r="BI38">
        <v>2.81495791361943</v>
      </c>
      <c r="BJ38">
        <v>3.3082807676821901</v>
      </c>
      <c r="BK38">
        <v>3.2380155894771501</v>
      </c>
      <c r="BL38">
        <v>2.7728644286331998</v>
      </c>
      <c r="BM38">
        <v>1.8903591682420999</v>
      </c>
      <c r="BN38">
        <v>7.2409776558844197</v>
      </c>
      <c r="BO38">
        <v>11.665567478802</v>
      </c>
      <c r="BP38">
        <v>5.0676154934382902</v>
      </c>
      <c r="BQ38">
        <v>2.8183513167625098</v>
      </c>
    </row>
    <row r="39" spans="1:70" x14ac:dyDescent="0.25">
      <c r="A39" t="s">
        <v>3091</v>
      </c>
      <c r="B39" t="s">
        <v>3092</v>
      </c>
      <c r="C39" t="s">
        <v>3023</v>
      </c>
      <c r="D39" t="s">
        <v>3024</v>
      </c>
      <c r="Z39">
        <v>-3.3333333333409099E-2</v>
      </c>
      <c r="AA39">
        <v>13.296098699566199</v>
      </c>
      <c r="AB39">
        <v>14.6126112868811</v>
      </c>
      <c r="AC39">
        <v>2.5422096681004702</v>
      </c>
      <c r="AD39">
        <v>10.423840230388601</v>
      </c>
      <c r="AE39">
        <v>2.24515251162269</v>
      </c>
      <c r="AF39">
        <v>-6.9868027059997297</v>
      </c>
      <c r="AG39">
        <v>-3.9644688207936598</v>
      </c>
      <c r="AH39">
        <v>0.68905580731273697</v>
      </c>
      <c r="AI39">
        <v>-1.23304562272101E-2</v>
      </c>
      <c r="AJ39">
        <v>-2.7623628067576198</v>
      </c>
      <c r="AK39">
        <v>-1.03360811667777</v>
      </c>
      <c r="AL39">
        <v>-2.9153584929833398</v>
      </c>
      <c r="AM39">
        <v>24.571013727560398</v>
      </c>
      <c r="AN39">
        <v>19.189403973509801</v>
      </c>
      <c r="AO39">
        <v>3.72494110325801</v>
      </c>
      <c r="AP39">
        <v>1.6113134776091</v>
      </c>
      <c r="AQ39">
        <v>-1.8852009615791001</v>
      </c>
      <c r="AR39">
        <v>-1.41420220082551</v>
      </c>
      <c r="AS39">
        <v>3.2034009156311201</v>
      </c>
      <c r="AT39">
        <v>3.83486060237361</v>
      </c>
      <c r="AU39">
        <v>2.3318170351623402</v>
      </c>
      <c r="AV39">
        <v>4.1347090515099501</v>
      </c>
      <c r="AW39">
        <v>-2.06640601136302</v>
      </c>
      <c r="AX39">
        <v>2.8835207335902102</v>
      </c>
      <c r="AY39">
        <v>6.6952646577335404</v>
      </c>
      <c r="AZ39">
        <v>0.95991761945710896</v>
      </c>
      <c r="BA39">
        <v>9.2589509941707604</v>
      </c>
      <c r="BB39">
        <v>3.5212622723864202</v>
      </c>
      <c r="BC39">
        <v>1.49102370047802</v>
      </c>
      <c r="BD39">
        <v>1.1944757244985</v>
      </c>
      <c r="BE39">
        <v>5.4782959434611698</v>
      </c>
      <c r="BF39">
        <v>6.9887934197019801</v>
      </c>
      <c r="BG39">
        <v>14.8986841797549</v>
      </c>
      <c r="BH39">
        <v>1.4029701713681599</v>
      </c>
      <c r="BI39">
        <v>4.94543276106518</v>
      </c>
      <c r="BJ39">
        <v>4.1807233187126602</v>
      </c>
      <c r="BK39">
        <v>1.61215686991555</v>
      </c>
      <c r="BL39">
        <v>2.6853735526678602</v>
      </c>
      <c r="BM39">
        <v>1.7101565952315201</v>
      </c>
      <c r="BN39">
        <v>4.2593641754286802</v>
      </c>
      <c r="BO39">
        <v>5.5831673518324596</v>
      </c>
      <c r="BP39">
        <v>2.9791385261893599</v>
      </c>
      <c r="BQ39">
        <v>1.47733600718743</v>
      </c>
    </row>
    <row r="40" spans="1:70" x14ac:dyDescent="0.25">
      <c r="A40" t="s">
        <v>3093</v>
      </c>
      <c r="B40" t="s">
        <v>3094</v>
      </c>
      <c r="C40" t="s">
        <v>3023</v>
      </c>
      <c r="D40" t="s">
        <v>3024</v>
      </c>
      <c r="E40">
        <v>1.35869565217391</v>
      </c>
      <c r="F40">
        <v>1.0187667560321001</v>
      </c>
      <c r="G40">
        <v>1.0615711252653499</v>
      </c>
      <c r="H40">
        <v>1.6281512605042701</v>
      </c>
      <c r="I40">
        <v>1.9121447028423699</v>
      </c>
      <c r="J40">
        <v>2.3326572008113402</v>
      </c>
      <c r="K40">
        <v>3.8156590683845302</v>
      </c>
      <c r="L40">
        <v>3.5799522673031099</v>
      </c>
      <c r="M40">
        <v>4.0552995391704698</v>
      </c>
      <c r="N40">
        <v>4.5615589016829201</v>
      </c>
      <c r="O40">
        <v>3.34603981363832</v>
      </c>
      <c r="P40">
        <v>2.7049180327868401</v>
      </c>
      <c r="Q40">
        <v>4.9880287310455103</v>
      </c>
      <c r="R40">
        <v>7.4876472824021096</v>
      </c>
      <c r="S40">
        <v>10.9971711456859</v>
      </c>
      <c r="T40">
        <v>10.672188595093999</v>
      </c>
      <c r="U40">
        <v>7.5417386298214701</v>
      </c>
      <c r="V40">
        <v>7.9764453961456896</v>
      </c>
      <c r="W40">
        <v>8.97372335151214</v>
      </c>
      <c r="X40">
        <v>9.1446769790718108</v>
      </c>
      <c r="Y40">
        <v>10.129220508545201</v>
      </c>
      <c r="Z40">
        <v>12.4716124148372</v>
      </c>
      <c r="AA40">
        <v>10.7689718997139</v>
      </c>
      <c r="AB40">
        <v>5.8635880297736698</v>
      </c>
      <c r="AC40">
        <v>4.3047783039173604</v>
      </c>
      <c r="AD40">
        <v>3.96203054065204</v>
      </c>
      <c r="AE40">
        <v>4.1947862908562001</v>
      </c>
      <c r="AF40">
        <v>4.3561087122173996</v>
      </c>
      <c r="AG40">
        <v>4.02823414871611</v>
      </c>
      <c r="AH40">
        <v>4.9836218998595703</v>
      </c>
      <c r="AI40">
        <v>4.7804769333630404</v>
      </c>
      <c r="AJ40">
        <v>5.6258640859300497</v>
      </c>
      <c r="AK40">
        <v>1.49013290374545</v>
      </c>
      <c r="AL40">
        <v>1.86507936507938</v>
      </c>
      <c r="AM40">
        <v>0.165562913907291</v>
      </c>
      <c r="AN40">
        <v>2.1487603305784901</v>
      </c>
      <c r="AO40">
        <v>1.57053112507137</v>
      </c>
      <c r="AP40">
        <v>1.6212163808453</v>
      </c>
      <c r="AQ40">
        <v>0.99594245665801895</v>
      </c>
      <c r="AR40">
        <v>1.7348429510591801</v>
      </c>
      <c r="AS40">
        <v>2.7194399569197598</v>
      </c>
      <c r="AT40">
        <v>2.5251201397990499</v>
      </c>
      <c r="AU40">
        <v>2.2583944094085502</v>
      </c>
      <c r="AV40">
        <v>2.75856321360112</v>
      </c>
      <c r="AW40">
        <v>1.85725871857256</v>
      </c>
      <c r="AX40">
        <v>2.21355203439767</v>
      </c>
      <c r="AY40">
        <v>2.0020253953416098</v>
      </c>
      <c r="AZ40">
        <v>2.1383839926683699</v>
      </c>
      <c r="BA40">
        <v>2.3702706744429798</v>
      </c>
      <c r="BB40">
        <v>0.29946680300929901</v>
      </c>
      <c r="BC40">
        <v>1.7768715409262701</v>
      </c>
      <c r="BD40">
        <v>2.91213508872351</v>
      </c>
      <c r="BE40">
        <v>1.51567823124516</v>
      </c>
      <c r="BF40">
        <v>0.93829189781531597</v>
      </c>
      <c r="BG40">
        <v>1.9066359071786101</v>
      </c>
      <c r="BH40">
        <v>1.1252413609427701</v>
      </c>
      <c r="BI40">
        <v>1.4287595470108501</v>
      </c>
      <c r="BJ40">
        <v>1.5968841285297599</v>
      </c>
      <c r="BK40">
        <v>2.2682256724810301</v>
      </c>
      <c r="BL40">
        <v>1.9492690241159201</v>
      </c>
      <c r="BM40">
        <v>0.71699963230782704</v>
      </c>
      <c r="BN40">
        <v>3.3951931852752701</v>
      </c>
      <c r="BO40">
        <v>6.8028011534161203</v>
      </c>
      <c r="BP40">
        <v>3.8790015978842498</v>
      </c>
      <c r="BQ40">
        <v>2.3815838328117298</v>
      </c>
    </row>
    <row r="41" spans="1:70" x14ac:dyDescent="0.25">
      <c r="A41" t="s">
        <v>3095</v>
      </c>
      <c r="B41" t="s">
        <v>3096</v>
      </c>
      <c r="C41" t="s">
        <v>3023</v>
      </c>
      <c r="D41" t="s">
        <v>3024</v>
      </c>
    </row>
    <row r="42" spans="1:70" x14ac:dyDescent="0.25">
      <c r="A42" t="s">
        <v>3097</v>
      </c>
      <c r="B42" t="s">
        <v>3098</v>
      </c>
      <c r="C42" t="s">
        <v>3023</v>
      </c>
      <c r="D42" t="s">
        <v>3024</v>
      </c>
      <c r="E42">
        <v>1.4387947032108701</v>
      </c>
      <c r="F42">
        <v>1.84539787448657</v>
      </c>
      <c r="G42">
        <v>4.3159928775437999</v>
      </c>
      <c r="H42">
        <v>3.4402128804295899</v>
      </c>
      <c r="I42">
        <v>3.0805568710180902</v>
      </c>
      <c r="J42">
        <v>3.4144786084618701</v>
      </c>
      <c r="K42">
        <v>4.7759795956368398</v>
      </c>
      <c r="L42">
        <v>4.0051962156388097</v>
      </c>
      <c r="M42">
        <v>2.3958222695700901</v>
      </c>
      <c r="N42">
        <v>2.48903598959373</v>
      </c>
      <c r="O42">
        <v>3.6159867862952302</v>
      </c>
      <c r="P42">
        <v>6.5732211192578403</v>
      </c>
      <c r="Q42">
        <v>6.6600070416024497</v>
      </c>
      <c r="R42">
        <v>8.75467033024632</v>
      </c>
      <c r="S42">
        <v>9.7674143191302605</v>
      </c>
      <c r="T42">
        <v>6.6965952250783802</v>
      </c>
      <c r="U42">
        <v>1.71547632285652</v>
      </c>
      <c r="V42">
        <v>1.29599916278313</v>
      </c>
      <c r="W42">
        <v>1.0287928948742899</v>
      </c>
      <c r="X42">
        <v>3.64764010558783</v>
      </c>
      <c r="Y42">
        <v>4.0225008483901004</v>
      </c>
      <c r="Z42">
        <v>6.4903096400571796</v>
      </c>
      <c r="AA42">
        <v>5.6551018239234203</v>
      </c>
      <c r="AB42">
        <v>2.9497944354572398</v>
      </c>
      <c r="AC42">
        <v>2.9314566913662401</v>
      </c>
      <c r="AD42">
        <v>3.4353993529826501</v>
      </c>
      <c r="AE42">
        <v>0.75030983941082696</v>
      </c>
      <c r="AF42">
        <v>1.44032188041723</v>
      </c>
      <c r="AG42">
        <v>1.8724685973186601</v>
      </c>
      <c r="AH42">
        <v>3.1552697971090899</v>
      </c>
      <c r="AI42">
        <v>5.4039590921893703</v>
      </c>
      <c r="AJ42">
        <v>5.8595966346867696</v>
      </c>
      <c r="AK42">
        <v>4.0370302077873896</v>
      </c>
      <c r="AL42">
        <v>3.2926218031360599</v>
      </c>
      <c r="AM42">
        <v>0.85211699512066397</v>
      </c>
      <c r="AN42">
        <v>1.7998277686714901</v>
      </c>
      <c r="AO42">
        <v>0.81163406462818699</v>
      </c>
      <c r="AP42">
        <v>0.52022542273663996</v>
      </c>
      <c r="AQ42">
        <v>1.7938437843932099E-2</v>
      </c>
      <c r="AR42">
        <v>0.80644438095945903</v>
      </c>
      <c r="AS42">
        <v>1.5585291967900801</v>
      </c>
      <c r="AT42">
        <v>0.98902032983254495</v>
      </c>
      <c r="AU42">
        <v>0.64271150654327702</v>
      </c>
      <c r="AV42">
        <v>0.63827293088718895</v>
      </c>
      <c r="AW42">
        <v>0.80290873095522597</v>
      </c>
      <c r="AX42">
        <v>1.1719542033370201</v>
      </c>
      <c r="AY42">
        <v>1.0595092832480399</v>
      </c>
      <c r="AZ42">
        <v>0.73235060312223599</v>
      </c>
      <c r="BA42">
        <v>2.4260411706015699</v>
      </c>
      <c r="BB42">
        <v>-0.480481936423304</v>
      </c>
      <c r="BC42">
        <v>0.68823870721997404</v>
      </c>
      <c r="BD42">
        <v>0.2313492076509</v>
      </c>
      <c r="BE42">
        <v>-0.69255201810516298</v>
      </c>
      <c r="BF42">
        <v>-0.21732315511567199</v>
      </c>
      <c r="BG42">
        <v>-1.32025387515945E-2</v>
      </c>
      <c r="BH42">
        <v>-1.1439086722817799</v>
      </c>
      <c r="BI42">
        <v>-0.43461866428581403</v>
      </c>
      <c r="BJ42">
        <v>0.53378783982587596</v>
      </c>
      <c r="BK42">
        <v>0.93633546411357205</v>
      </c>
      <c r="BL42">
        <v>0.36288617994067401</v>
      </c>
      <c r="BM42">
        <v>-0.72587493331340203</v>
      </c>
      <c r="BN42">
        <v>0.58181416848985501</v>
      </c>
      <c r="BO42">
        <v>2.8350279864445098</v>
      </c>
      <c r="BP42">
        <v>2.1354008801638602</v>
      </c>
      <c r="BQ42">
        <v>1.0623404197659401</v>
      </c>
    </row>
    <row r="43" spans="1:70" x14ac:dyDescent="0.25">
      <c r="A43" t="s">
        <v>3099</v>
      </c>
      <c r="B43" t="s">
        <v>3100</v>
      </c>
      <c r="C43" t="s">
        <v>3023</v>
      </c>
      <c r="D43" t="s">
        <v>3024</v>
      </c>
    </row>
    <row r="44" spans="1:70" x14ac:dyDescent="0.25">
      <c r="A44" t="s">
        <v>3101</v>
      </c>
      <c r="B44" t="s">
        <v>3102</v>
      </c>
      <c r="C44" t="s">
        <v>3023</v>
      </c>
      <c r="D44" t="s">
        <v>3024</v>
      </c>
      <c r="P44">
        <v>20.052231204053601</v>
      </c>
      <c r="Q44">
        <v>77.795740475520304</v>
      </c>
      <c r="R44">
        <v>352.81098657302903</v>
      </c>
      <c r="S44">
        <v>504.73854121597799</v>
      </c>
      <c r="T44">
        <v>374.73527423263403</v>
      </c>
      <c r="U44">
        <v>211.924302225904</v>
      </c>
      <c r="V44">
        <v>91.954132556510402</v>
      </c>
      <c r="W44">
        <v>40.087224631385403</v>
      </c>
      <c r="X44">
        <v>33.389219010225098</v>
      </c>
      <c r="Y44">
        <v>35.138340533048499</v>
      </c>
      <c r="Z44">
        <v>19.686832708431901</v>
      </c>
      <c r="AA44">
        <v>9.9410269304183192</v>
      </c>
      <c r="AB44">
        <v>27.2571946726204</v>
      </c>
      <c r="AC44">
        <v>19.860205660262601</v>
      </c>
      <c r="AD44">
        <v>30.703498909615</v>
      </c>
      <c r="AE44">
        <v>19.476837923258199</v>
      </c>
      <c r="AF44">
        <v>19.8808457201905</v>
      </c>
      <c r="AG44">
        <v>14.6843512500819</v>
      </c>
      <c r="AH44">
        <v>17.027936730896101</v>
      </c>
      <c r="AI44">
        <v>26.0364811362364</v>
      </c>
      <c r="AJ44">
        <v>21.784412427775699</v>
      </c>
      <c r="AK44">
        <v>15.4258064688927</v>
      </c>
      <c r="AL44">
        <v>12.727766949096299</v>
      </c>
      <c r="AM44">
        <v>11.4431196444972</v>
      </c>
      <c r="AN44">
        <v>8.2326303411611406</v>
      </c>
      <c r="AO44">
        <v>7.3591178178876699</v>
      </c>
      <c r="AP44">
        <v>6.1338646435792699</v>
      </c>
      <c r="AQ44">
        <v>5.1102495451755896</v>
      </c>
      <c r="AR44">
        <v>3.33687917526023</v>
      </c>
      <c r="AS44">
        <v>3.8432729570656501</v>
      </c>
      <c r="AT44">
        <v>3.5691005300146599</v>
      </c>
      <c r="AU44">
        <v>2.4893981665070499</v>
      </c>
      <c r="AV44">
        <v>2.8101787574361001</v>
      </c>
      <c r="AW44">
        <v>1.0547387140351601</v>
      </c>
      <c r="AX44">
        <v>3.0525762138784902</v>
      </c>
      <c r="AY44">
        <v>3.3920173369940501</v>
      </c>
      <c r="AZ44">
        <v>4.4077993839804401</v>
      </c>
      <c r="BA44">
        <v>8.7162687303960702</v>
      </c>
      <c r="BB44">
        <v>0.35304517836093602</v>
      </c>
      <c r="BC44">
        <v>1.4107110795432001</v>
      </c>
      <c r="BD44">
        <v>3.3412169425930198</v>
      </c>
      <c r="BE44">
        <v>3.0074484021304699</v>
      </c>
      <c r="BF44">
        <v>1.7895555398459</v>
      </c>
      <c r="BG44">
        <v>4.7186752785467103</v>
      </c>
      <c r="BH44">
        <v>4.3487735321704397</v>
      </c>
      <c r="BI44">
        <v>3.7861935589311799</v>
      </c>
      <c r="BJ44">
        <v>2.1827184686851901</v>
      </c>
      <c r="BK44">
        <v>2.4348898135305701</v>
      </c>
      <c r="BL44">
        <v>2.5575447570332601</v>
      </c>
      <c r="BM44">
        <v>3.0454908480432601</v>
      </c>
      <c r="BN44">
        <v>4.52456838259143</v>
      </c>
      <c r="BO44">
        <v>11.6438667110559</v>
      </c>
      <c r="BP44">
        <v>7.5816825140796196</v>
      </c>
      <c r="BQ44">
        <v>4.2976389157252397</v>
      </c>
    </row>
    <row r="45" spans="1:70" s="114" customFormat="1" x14ac:dyDescent="0.25">
      <c r="A45" s="79" t="s">
        <v>2941</v>
      </c>
      <c r="B45" s="79" t="s">
        <v>3103</v>
      </c>
      <c r="C45" s="79" t="s">
        <v>3023</v>
      </c>
      <c r="D45" s="79" t="s">
        <v>3024</v>
      </c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>
        <v>7.2338355306560898</v>
      </c>
      <c r="AG45" s="79">
        <v>18.811817944875202</v>
      </c>
      <c r="AH45" s="79">
        <v>18.245638362164701</v>
      </c>
      <c r="AI45" s="79">
        <v>3.0522901207523301</v>
      </c>
      <c r="AJ45" s="79">
        <v>3.55668565220452</v>
      </c>
      <c r="AK45" s="79">
        <v>6.35398134024868</v>
      </c>
      <c r="AL45" s="79">
        <v>14.6100786356602</v>
      </c>
      <c r="AM45" s="79">
        <v>24.256989724336101</v>
      </c>
      <c r="AN45" s="79">
        <v>16.7912251650916</v>
      </c>
      <c r="AO45" s="79">
        <v>8.3131602889390805</v>
      </c>
      <c r="AP45" s="79">
        <v>2.7864650553188102</v>
      </c>
      <c r="AQ45" s="79">
        <v>-0.77318601154931799</v>
      </c>
      <c r="AR45" s="79">
        <v>-1.40147268276464</v>
      </c>
      <c r="AS45" s="79">
        <v>0.34781122686458599</v>
      </c>
      <c r="AT45" s="79">
        <v>0.71912560912011303</v>
      </c>
      <c r="AU45" s="79">
        <v>-0.73197090235024298</v>
      </c>
      <c r="AV45" s="79">
        <v>1.1276034872963701</v>
      </c>
      <c r="AW45" s="79">
        <v>3.82463743108159</v>
      </c>
      <c r="AX45" s="79">
        <v>1.7764140766756999</v>
      </c>
      <c r="AY45" s="79">
        <v>1.6494309945585901</v>
      </c>
      <c r="AZ45" s="79">
        <v>4.8167676737883403</v>
      </c>
      <c r="BA45" s="79">
        <v>5.9252513704109102</v>
      </c>
      <c r="BB45" s="79">
        <v>-0.72816525093289797</v>
      </c>
      <c r="BC45" s="79">
        <v>3.1753247526919899</v>
      </c>
      <c r="BD45" s="79">
        <v>5.5538989225749296</v>
      </c>
      <c r="BE45" s="79">
        <v>2.6195243264553998</v>
      </c>
      <c r="BF45" s="79">
        <v>2.62105001748114</v>
      </c>
      <c r="BG45" s="79">
        <v>1.9216416278852</v>
      </c>
      <c r="BH45" s="79">
        <v>1.4370238093565399</v>
      </c>
      <c r="BI45" s="79">
        <v>2.00000182191943</v>
      </c>
      <c r="BJ45" s="79">
        <v>1.59313600071435</v>
      </c>
      <c r="BK45" s="79">
        <v>2.0747903996557602</v>
      </c>
      <c r="BL45" s="79">
        <v>2.89923416358226</v>
      </c>
      <c r="BM45" s="79">
        <v>2.4194218945778201</v>
      </c>
      <c r="BN45" s="79">
        <v>0.98101513554488096</v>
      </c>
      <c r="BO45" s="79">
        <v>1.9735755573905001</v>
      </c>
      <c r="BP45" s="79">
        <v>0.23483682889304999</v>
      </c>
      <c r="BQ45" s="79">
        <v>0.21812893843917699</v>
      </c>
      <c r="BR45" s="79"/>
    </row>
    <row r="46" spans="1:70" x14ac:dyDescent="0.25">
      <c r="A46" t="s">
        <v>3104</v>
      </c>
      <c r="B46" t="s">
        <v>3105</v>
      </c>
      <c r="C46" t="s">
        <v>3023</v>
      </c>
      <c r="D46" t="s">
        <v>3024</v>
      </c>
      <c r="F46">
        <v>11.616492146898899</v>
      </c>
      <c r="G46">
        <v>-1.34124890120528</v>
      </c>
      <c r="H46">
        <v>0.94346631046019802</v>
      </c>
      <c r="I46">
        <v>0.61819252274366698</v>
      </c>
      <c r="J46">
        <v>2.6111761263301099</v>
      </c>
      <c r="K46">
        <v>4.1913179840566803</v>
      </c>
      <c r="L46">
        <v>2.2918519534945601</v>
      </c>
      <c r="M46">
        <v>5.3504547886787899</v>
      </c>
      <c r="N46">
        <v>4.4502285422332504</v>
      </c>
      <c r="O46">
        <v>8.2051905431071894</v>
      </c>
      <c r="P46">
        <v>-0.44374543627574498</v>
      </c>
      <c r="Q46">
        <v>0.31031369888391003</v>
      </c>
      <c r="R46">
        <v>11.102986669822799</v>
      </c>
      <c r="S46">
        <v>17.359388447064699</v>
      </c>
      <c r="T46">
        <v>11.4442239670113</v>
      </c>
      <c r="U46">
        <v>12.0766402169566</v>
      </c>
      <c r="V46">
        <v>27.4218615091476</v>
      </c>
      <c r="W46">
        <v>13.242986854592701</v>
      </c>
      <c r="X46">
        <v>16.3423565736251</v>
      </c>
      <c r="Y46">
        <v>14.7009812997865</v>
      </c>
      <c r="Z46">
        <v>8.7992108330877699</v>
      </c>
      <c r="AA46">
        <v>7.5831258964214898</v>
      </c>
      <c r="AB46">
        <v>5.64042843342125</v>
      </c>
      <c r="AC46">
        <v>4.2847611036186999</v>
      </c>
      <c r="AD46">
        <v>1.86380327150627</v>
      </c>
      <c r="AE46">
        <v>9.6829547311651396</v>
      </c>
      <c r="AF46">
        <v>6.94330626536573</v>
      </c>
      <c r="AG46">
        <v>6.9306861720651396</v>
      </c>
      <c r="AH46">
        <v>1.0495182379038299</v>
      </c>
      <c r="AI46">
        <v>-0.80587969827806005</v>
      </c>
      <c r="AJ46">
        <v>1.68334849863479</v>
      </c>
      <c r="AK46">
        <v>4.2313838286996699</v>
      </c>
      <c r="AL46">
        <v>2.16471453976754</v>
      </c>
      <c r="AM46">
        <v>26.0815719947161</v>
      </c>
      <c r="AN46">
        <v>14.295069085194401</v>
      </c>
      <c r="AO46">
        <v>2.4808066918755101</v>
      </c>
      <c r="AP46">
        <v>4.0208333333330497</v>
      </c>
      <c r="AQ46">
        <v>4.6114475951537202</v>
      </c>
      <c r="AR46">
        <v>0.70237580595596005</v>
      </c>
      <c r="AS46">
        <v>2.5307751673799599</v>
      </c>
      <c r="AT46">
        <v>4.3615291400725598</v>
      </c>
      <c r="AU46">
        <v>3.0772648515742702</v>
      </c>
      <c r="AV46">
        <v>3.2968074697420802</v>
      </c>
      <c r="AW46">
        <v>1.4579883560074101</v>
      </c>
      <c r="AX46">
        <v>3.88583039886481</v>
      </c>
      <c r="AY46">
        <v>2.4671914859691402</v>
      </c>
      <c r="AZ46">
        <v>1.89200629349597</v>
      </c>
      <c r="BA46">
        <v>6.3085276915257804</v>
      </c>
      <c r="BB46">
        <v>1.01950457731137</v>
      </c>
      <c r="BC46">
        <v>1.22645612135479</v>
      </c>
      <c r="BD46">
        <v>4.9124339505245</v>
      </c>
      <c r="BE46">
        <v>1.3045111991560601</v>
      </c>
      <c r="BF46">
        <v>2.5811703725293502</v>
      </c>
      <c r="BG46">
        <v>0.44868207676614102</v>
      </c>
      <c r="BH46">
        <v>1.25149954781467</v>
      </c>
      <c r="BI46">
        <v>0.723178457513308</v>
      </c>
      <c r="BJ46">
        <v>0.68588106530460302</v>
      </c>
      <c r="BK46">
        <v>0.40129781726354702</v>
      </c>
      <c r="BL46">
        <v>0.79085551205366</v>
      </c>
      <c r="BM46">
        <v>2.4125261718905202</v>
      </c>
      <c r="BN46">
        <v>4.1591965791179701</v>
      </c>
      <c r="BO46">
        <v>5.2335285610084199</v>
      </c>
      <c r="BP46">
        <v>4.3697225486747397</v>
      </c>
      <c r="BQ46">
        <v>3.4505302813101801</v>
      </c>
    </row>
    <row r="47" spans="1:70" x14ac:dyDescent="0.25">
      <c r="A47" t="s">
        <v>3106</v>
      </c>
      <c r="B47" t="s">
        <v>3107</v>
      </c>
      <c r="C47" t="s">
        <v>3023</v>
      </c>
      <c r="D47" t="s">
        <v>3024</v>
      </c>
      <c r="N47">
        <v>-1.1015911872741</v>
      </c>
      <c r="O47">
        <v>5.8580858085173997</v>
      </c>
      <c r="P47">
        <v>4.0140296180985597</v>
      </c>
      <c r="Q47">
        <v>8.0929186957962091</v>
      </c>
      <c r="R47">
        <v>10.3847487003839</v>
      </c>
      <c r="S47">
        <v>17.232933492330599</v>
      </c>
      <c r="T47">
        <v>13.553329405126201</v>
      </c>
      <c r="U47">
        <v>9.93065056369724</v>
      </c>
      <c r="V47">
        <v>14.6983091581553</v>
      </c>
      <c r="W47">
        <v>12.4630523441786</v>
      </c>
      <c r="X47">
        <v>6.5806108190271599</v>
      </c>
      <c r="Y47">
        <v>9.5517542764286603</v>
      </c>
      <c r="Z47">
        <v>10.727500000000401</v>
      </c>
      <c r="AA47">
        <v>13.257019861070299</v>
      </c>
      <c r="AB47">
        <v>16.6312264100787</v>
      </c>
      <c r="AC47">
        <v>11.3733220902937</v>
      </c>
      <c r="AD47">
        <v>8.5083743439159392</v>
      </c>
      <c r="AE47">
        <v>7.7700249870353204</v>
      </c>
      <c r="AF47">
        <v>13.140499844701001</v>
      </c>
      <c r="AG47">
        <v>1.6823326077120899</v>
      </c>
      <c r="AH47">
        <v>-1.66552589550543</v>
      </c>
      <c r="AI47">
        <v>1.0993812838360799</v>
      </c>
      <c r="AJ47">
        <v>6.0051330500345397E-2</v>
      </c>
      <c r="AK47">
        <v>-1.6055045871741801E-2</v>
      </c>
      <c r="AL47">
        <v>-3.2065545691586799</v>
      </c>
      <c r="AM47">
        <v>35.094461845946398</v>
      </c>
      <c r="AN47">
        <v>9.0696907192150906</v>
      </c>
      <c r="AO47">
        <v>3.9240637274979799</v>
      </c>
      <c r="AP47">
        <v>4.7862388186037501</v>
      </c>
      <c r="AQ47">
        <v>3.17075185386906</v>
      </c>
      <c r="AR47">
        <v>1.87174500672008</v>
      </c>
      <c r="AS47">
        <v>1.2271901297613199</v>
      </c>
      <c r="AT47">
        <v>4.4197724588114502</v>
      </c>
      <c r="AU47">
        <v>2.8344226012806599</v>
      </c>
      <c r="AV47">
        <v>0.62316355737431595</v>
      </c>
      <c r="AW47">
        <v>0.23364738006758301</v>
      </c>
      <c r="AX47">
        <v>2.0135395017598601</v>
      </c>
      <c r="AY47">
        <v>5.1175781601946904</v>
      </c>
      <c r="AZ47">
        <v>0.92140224565009499</v>
      </c>
      <c r="BA47">
        <v>5.3378062762749803</v>
      </c>
      <c r="BB47">
        <v>3.0436184793999899</v>
      </c>
      <c r="BC47">
        <v>1.27538046242338</v>
      </c>
      <c r="BD47">
        <v>2.9396994630509101</v>
      </c>
      <c r="BE47">
        <v>2.7352967752953901</v>
      </c>
      <c r="BF47">
        <v>2.0503471800174</v>
      </c>
      <c r="BG47">
        <v>1.8548985036677601</v>
      </c>
      <c r="BH47">
        <v>2.6762353141989901</v>
      </c>
      <c r="BI47">
        <v>0.87419038328885601</v>
      </c>
      <c r="BJ47">
        <v>0.64040914988194997</v>
      </c>
      <c r="BK47">
        <v>1.0688581131292001</v>
      </c>
      <c r="BL47">
        <v>2.4528021406273202</v>
      </c>
      <c r="BM47">
        <v>2.4376088218223599</v>
      </c>
      <c r="BN47">
        <v>2.27185762503637</v>
      </c>
      <c r="BO47">
        <v>6.2476771334386099</v>
      </c>
      <c r="BP47">
        <v>7.3828138428098304</v>
      </c>
      <c r="BQ47">
        <v>4.53331349711606</v>
      </c>
    </row>
    <row r="48" spans="1:70" x14ac:dyDescent="0.25">
      <c r="A48" t="s">
        <v>3108</v>
      </c>
      <c r="B48" t="s">
        <v>3109</v>
      </c>
      <c r="C48" t="s">
        <v>3023</v>
      </c>
      <c r="D48" t="s">
        <v>3024</v>
      </c>
      <c r="I48">
        <v>35.421064977788298</v>
      </c>
      <c r="J48">
        <v>-2.7269802776291501</v>
      </c>
      <c r="K48">
        <v>15.780101249114001</v>
      </c>
      <c r="L48">
        <v>36.926524872831799</v>
      </c>
      <c r="M48">
        <v>53.321672710773797</v>
      </c>
      <c r="N48">
        <v>6.1761957352231303</v>
      </c>
      <c r="O48">
        <v>8.0252840454848595</v>
      </c>
      <c r="P48">
        <v>5.7773498259651603</v>
      </c>
      <c r="Q48">
        <v>15.804215390794999</v>
      </c>
      <c r="R48">
        <v>15.642762123819301</v>
      </c>
      <c r="S48">
        <v>29.469281045994499</v>
      </c>
      <c r="T48">
        <v>28.657970195226799</v>
      </c>
      <c r="U48">
        <v>80.385959075413993</v>
      </c>
      <c r="V48">
        <v>68.947708198999706</v>
      </c>
      <c r="W48">
        <v>48.769037611520197</v>
      </c>
      <c r="X48">
        <v>101.051260411497</v>
      </c>
      <c r="Y48">
        <v>46.625906830330798</v>
      </c>
      <c r="Z48">
        <v>35.4082648744293</v>
      </c>
      <c r="AA48">
        <v>36.699697574091402</v>
      </c>
      <c r="AB48">
        <v>76.526697666265804</v>
      </c>
      <c r="AC48">
        <v>52.227011357320798</v>
      </c>
      <c r="AD48">
        <v>23.8207845213349</v>
      </c>
      <c r="AE48">
        <v>44.4</v>
      </c>
      <c r="AF48">
        <v>78.670360110803202</v>
      </c>
      <c r="AG48">
        <v>71.091731266150305</v>
      </c>
      <c r="AH48">
        <v>104.06522942826</v>
      </c>
      <c r="AI48">
        <v>81.295404814004002</v>
      </c>
      <c r="AJ48">
        <v>2154.4368271133999</v>
      </c>
      <c r="AK48">
        <v>4129.1698566155801</v>
      </c>
      <c r="AL48">
        <v>1986.9047619047501</v>
      </c>
      <c r="AM48">
        <v>23773.131774101501</v>
      </c>
      <c r="AN48">
        <v>541.90888323902595</v>
      </c>
      <c r="AO48">
        <v>492.44185023541399</v>
      </c>
      <c r="AP48">
        <v>198.516707416462</v>
      </c>
      <c r="AQ48">
        <v>29.148806923665202</v>
      </c>
      <c r="AR48">
        <v>284.89497591408599</v>
      </c>
      <c r="AS48">
        <v>513.90684374753505</v>
      </c>
      <c r="AT48">
        <v>359.93661426458499</v>
      </c>
      <c r="AU48">
        <v>31.522582602549502</v>
      </c>
      <c r="AV48">
        <v>12.873965718740401</v>
      </c>
      <c r="AW48">
        <v>3.9943840081597002</v>
      </c>
      <c r="AX48">
        <v>21.316816722934</v>
      </c>
      <c r="AY48">
        <v>13.0526949745101</v>
      </c>
      <c r="AZ48">
        <v>16.945100654194899</v>
      </c>
      <c r="BA48">
        <v>17.3013845700156</v>
      </c>
      <c r="BB48">
        <v>2.7999999999998102</v>
      </c>
      <c r="BC48">
        <v>7.10000000000037</v>
      </c>
      <c r="BD48">
        <v>15.316515913949001</v>
      </c>
      <c r="BE48">
        <v>9.7218280627336409</v>
      </c>
      <c r="BF48">
        <v>0.80822310148710996</v>
      </c>
      <c r="BG48">
        <v>1.24303889760802</v>
      </c>
      <c r="BH48">
        <v>0.74419899478147</v>
      </c>
      <c r="BI48">
        <v>2.8858510728998801</v>
      </c>
    </row>
    <row r="49" spans="1:70" x14ac:dyDescent="0.25">
      <c r="A49" t="s">
        <v>3110</v>
      </c>
      <c r="B49" t="s">
        <v>3111</v>
      </c>
      <c r="C49" t="s">
        <v>3023</v>
      </c>
      <c r="D49" t="s">
        <v>3024</v>
      </c>
      <c r="AE49">
        <v>4.1581108829567803</v>
      </c>
      <c r="AF49">
        <v>0.44356826022684398</v>
      </c>
      <c r="AG49">
        <v>1.0304219823355001</v>
      </c>
      <c r="AH49">
        <v>-1.7969888295288401</v>
      </c>
      <c r="AI49">
        <v>2.8890537421694602</v>
      </c>
      <c r="AJ49">
        <v>-1.67834968956536</v>
      </c>
      <c r="AK49">
        <v>-3.9354681007088099</v>
      </c>
      <c r="AL49">
        <v>4.9236641221374304</v>
      </c>
      <c r="AM49">
        <v>42.439675033345203</v>
      </c>
      <c r="AN49">
        <v>9.41800743452227</v>
      </c>
      <c r="AO49">
        <v>10.0311203319502</v>
      </c>
      <c r="AR49">
        <v>4.1426713728404803</v>
      </c>
      <c r="AS49">
        <v>-0.88199151702542999</v>
      </c>
      <c r="AT49">
        <v>5.5989921814058201E-2</v>
      </c>
      <c r="AU49">
        <v>4.3787597178087196</v>
      </c>
      <c r="AV49">
        <v>-0.63184498736315597</v>
      </c>
      <c r="AW49">
        <v>2.4297660796179898</v>
      </c>
      <c r="AX49">
        <v>3.0944901145618098</v>
      </c>
      <c r="AY49">
        <v>6.5378439529960302</v>
      </c>
      <c r="AZ49">
        <v>2.6546464506070202</v>
      </c>
      <c r="BA49">
        <v>4.9587509202315099</v>
      </c>
      <c r="BB49">
        <v>4.4150037479522304</v>
      </c>
      <c r="BC49">
        <v>0.39152501122761202</v>
      </c>
      <c r="BD49">
        <v>1.75958704273803</v>
      </c>
      <c r="BE49">
        <v>5.0101877313447103</v>
      </c>
      <c r="BF49">
        <v>4.6316161972946102</v>
      </c>
      <c r="BG49">
        <v>0.91213954545009701</v>
      </c>
      <c r="BH49">
        <v>3.1690979675082902</v>
      </c>
      <c r="BI49">
        <v>3.1905617972377298</v>
      </c>
      <c r="BJ49">
        <v>0.45006382328554601</v>
      </c>
      <c r="BK49">
        <v>1.1527789637552299</v>
      </c>
      <c r="BL49">
        <v>2.2060730578152499</v>
      </c>
      <c r="BM49">
        <v>1.79537147083107</v>
      </c>
      <c r="BN49">
        <v>1.7156427545126001</v>
      </c>
      <c r="BO49">
        <v>3.0434433469847701</v>
      </c>
      <c r="BP49">
        <v>4.3017456359101596</v>
      </c>
      <c r="BQ49">
        <v>3.0914363091916601</v>
      </c>
    </row>
    <row r="50" spans="1:70" x14ac:dyDescent="0.25">
      <c r="A50" t="s">
        <v>3112</v>
      </c>
      <c r="B50" t="s">
        <v>3113</v>
      </c>
      <c r="C50" t="s">
        <v>3023</v>
      </c>
      <c r="D50" t="s">
        <v>3024</v>
      </c>
      <c r="E50">
        <v>5.8140762820498599</v>
      </c>
      <c r="F50">
        <v>8.2831904564871603</v>
      </c>
      <c r="G50">
        <v>4.6970939506246996</v>
      </c>
      <c r="H50">
        <v>26.355435525046602</v>
      </c>
      <c r="I50">
        <v>17.0724352164553</v>
      </c>
      <c r="J50">
        <v>7.5906836693158004</v>
      </c>
      <c r="K50">
        <v>16.728168274859701</v>
      </c>
      <c r="L50">
        <v>8.3281913642594692</v>
      </c>
      <c r="M50">
        <v>7.4475387831777002</v>
      </c>
      <c r="N50">
        <v>6.9816630795537504</v>
      </c>
      <c r="O50">
        <v>6.9086227584823998</v>
      </c>
      <c r="P50">
        <v>11.940261697921599</v>
      </c>
      <c r="Q50">
        <v>12.4444589907728</v>
      </c>
      <c r="R50">
        <v>22.529648678184198</v>
      </c>
      <c r="S50">
        <v>23.8709573656696</v>
      </c>
      <c r="T50">
        <v>23.4375025650554</v>
      </c>
      <c r="U50">
        <v>19.831224916793001</v>
      </c>
      <c r="V50">
        <v>33.802818357981899</v>
      </c>
      <c r="W50">
        <v>17.763159085346199</v>
      </c>
      <c r="X50">
        <v>24.1340757440455</v>
      </c>
      <c r="Y50">
        <v>26.552653149535601</v>
      </c>
      <c r="Z50">
        <v>27.453762434799302</v>
      </c>
      <c r="AA50">
        <v>24.720988252858501</v>
      </c>
      <c r="AB50">
        <v>19.597317062476399</v>
      </c>
      <c r="AC50">
        <v>16.161617136142599</v>
      </c>
      <c r="AD50">
        <v>24.090174368124998</v>
      </c>
      <c r="AE50">
        <v>18.842463161240499</v>
      </c>
      <c r="AF50">
        <v>23.302028364018</v>
      </c>
      <c r="AG50">
        <v>28.108396977170301</v>
      </c>
      <c r="AH50">
        <v>25.867548083198699</v>
      </c>
      <c r="AI50">
        <v>29.152024597621502</v>
      </c>
      <c r="AJ50">
        <v>30.387820485443498</v>
      </c>
      <c r="AK50">
        <v>27.010626623136002</v>
      </c>
      <c r="AL50">
        <v>22.442482853327501</v>
      </c>
      <c r="AM50">
        <v>22.846241755304401</v>
      </c>
      <c r="AN50">
        <v>20.891793019484901</v>
      </c>
      <c r="AO50">
        <v>20.797575512740099</v>
      </c>
      <c r="AP50">
        <v>18.470021711908899</v>
      </c>
      <c r="AQ50">
        <v>18.676979927667102</v>
      </c>
      <c r="AR50">
        <v>10.873687085746999</v>
      </c>
      <c r="AS50">
        <v>9.2253481858536492</v>
      </c>
      <c r="AT50">
        <v>7.9655609030483401</v>
      </c>
      <c r="AU50">
        <v>6.3515072877887198</v>
      </c>
      <c r="AV50">
        <v>7.1297886294186004</v>
      </c>
      <c r="AW50">
        <v>5.9040200554650202</v>
      </c>
      <c r="AX50">
        <v>5.0510196268969496</v>
      </c>
      <c r="AY50">
        <v>4.2934236362892602</v>
      </c>
      <c r="AZ50">
        <v>5.5443848581515498</v>
      </c>
      <c r="BA50">
        <v>6.9968849555450996</v>
      </c>
      <c r="BB50">
        <v>4.2025166121648097</v>
      </c>
      <c r="BC50">
        <v>2.27200227892008</v>
      </c>
      <c r="BD50">
        <v>3.4150334477625002</v>
      </c>
      <c r="BE50">
        <v>3.1693018884005499</v>
      </c>
      <c r="BF50">
        <v>2.0169922431038301</v>
      </c>
      <c r="BG50">
        <v>2.8988378776173702</v>
      </c>
      <c r="BH50">
        <v>4.9898311584952904</v>
      </c>
      <c r="BI50">
        <v>7.5134602462767397</v>
      </c>
      <c r="BJ50">
        <v>4.3143132569500997</v>
      </c>
      <c r="BK50">
        <v>3.2405693293056901</v>
      </c>
      <c r="BL50">
        <v>3.5230193274144601</v>
      </c>
      <c r="BM50">
        <v>2.5266350008470599</v>
      </c>
      <c r="BN50">
        <v>3.49505757399448</v>
      </c>
      <c r="BO50">
        <v>10.1772313546166</v>
      </c>
      <c r="BP50">
        <v>11.735904494868899</v>
      </c>
      <c r="BQ50">
        <v>6.6090859372822797</v>
      </c>
    </row>
    <row r="51" spans="1:70" x14ac:dyDescent="0.25">
      <c r="A51" t="s">
        <v>3114</v>
      </c>
      <c r="B51" t="s">
        <v>3115</v>
      </c>
      <c r="C51" t="s">
        <v>3023</v>
      </c>
      <c r="D51" t="s">
        <v>3024</v>
      </c>
      <c r="AT51">
        <v>5.5545939481681197</v>
      </c>
      <c r="AU51">
        <v>3.5330421430807699</v>
      </c>
      <c r="AV51">
        <v>3.7990813667190002</v>
      </c>
      <c r="AW51">
        <v>4.4749928907810599</v>
      </c>
      <c r="AX51">
        <v>3.0133239505812002</v>
      </c>
      <c r="AY51">
        <v>3.3743636012120399</v>
      </c>
      <c r="AZ51">
        <v>4.46616710098131</v>
      </c>
      <c r="BA51">
        <v>1.7007817628452999</v>
      </c>
      <c r="BB51">
        <v>4.36234829325719</v>
      </c>
      <c r="BC51">
        <v>3.3547577032891902</v>
      </c>
      <c r="BD51">
        <v>1.8426630075618999</v>
      </c>
      <c r="BE51">
        <v>6.3147445031517702</v>
      </c>
      <c r="BF51">
        <v>-4.2948733153675596</v>
      </c>
      <c r="BG51">
        <v>7.5475537909671102</v>
      </c>
      <c r="BH51">
        <v>-0.11717388419006899</v>
      </c>
      <c r="BI51">
        <v>0.79751743088848703</v>
      </c>
      <c r="BJ51">
        <v>-0.237362224154613</v>
      </c>
      <c r="BK51">
        <v>2.1515508441303299</v>
      </c>
      <c r="BL51">
        <v>3.5821354446921099</v>
      </c>
      <c r="BM51">
        <v>0.78664192949915102</v>
      </c>
      <c r="BN51">
        <v>-4.4179368234698799E-3</v>
      </c>
      <c r="BO51">
        <v>12.5320314570998</v>
      </c>
      <c r="BP51">
        <v>8.3737395549099496</v>
      </c>
      <c r="BQ51">
        <v>5.0519260958821803</v>
      </c>
    </row>
    <row r="52" spans="1:70" x14ac:dyDescent="0.25">
      <c r="A52" t="s">
        <v>3116</v>
      </c>
      <c r="B52" t="s">
        <v>3117</v>
      </c>
      <c r="C52" t="s">
        <v>3023</v>
      </c>
      <c r="D52" t="s">
        <v>3024</v>
      </c>
      <c r="AC52">
        <v>11.2499999999997</v>
      </c>
      <c r="AD52">
        <v>5.3932584269663799</v>
      </c>
      <c r="AE52">
        <v>10.874200426439099</v>
      </c>
      <c r="AF52">
        <v>3.8461538461540798</v>
      </c>
      <c r="AG52">
        <v>4.0740740740738399</v>
      </c>
      <c r="AH52">
        <v>4.5551601423488401</v>
      </c>
      <c r="AI52">
        <v>10.6535057862491</v>
      </c>
      <c r="AJ52">
        <v>9.5509074131035998</v>
      </c>
      <c r="AK52">
        <v>3.1166643268285998</v>
      </c>
      <c r="AL52">
        <v>5.7883959044369702</v>
      </c>
      <c r="AM52">
        <v>3.45205833010708</v>
      </c>
      <c r="AN52">
        <v>8.3515249797292697</v>
      </c>
      <c r="AO52">
        <v>5.9636196177757501</v>
      </c>
      <c r="AP52">
        <v>8.55606258148633</v>
      </c>
      <c r="AQ52">
        <v>4.3942350998347699</v>
      </c>
      <c r="AR52">
        <v>4.3564337451045203</v>
      </c>
      <c r="AS52">
        <v>-2.4774566851983502</v>
      </c>
      <c r="AT52">
        <v>3.3499647231789398</v>
      </c>
      <c r="AU52">
        <v>1.8845341007676399</v>
      </c>
      <c r="AV52">
        <v>1.1881703862052799</v>
      </c>
      <c r="AW52">
        <v>-1.8908217230618001</v>
      </c>
      <c r="AX52">
        <v>0.41889161285517001</v>
      </c>
      <c r="AY52">
        <v>5.3690768706554799</v>
      </c>
      <c r="AZ52">
        <v>4.4109970419348796</v>
      </c>
      <c r="BA52">
        <v>6.7744354637114199</v>
      </c>
      <c r="BB52">
        <v>0.99110348056808395</v>
      </c>
      <c r="BC52">
        <v>2.0786647090642298</v>
      </c>
      <c r="BD52">
        <v>4.4738834216502301</v>
      </c>
      <c r="BE52">
        <v>2.54039644167108</v>
      </c>
      <c r="BF52">
        <v>1.50654285701407</v>
      </c>
      <c r="BG52">
        <v>-0.238778144990623</v>
      </c>
      <c r="BH52">
        <v>0.13118799902454401</v>
      </c>
      <c r="BI52">
        <v>-1.4078163709170499</v>
      </c>
      <c r="BJ52">
        <v>0.78441525110133403</v>
      </c>
      <c r="BK52">
        <v>1.2561518586078499</v>
      </c>
      <c r="BL52">
        <v>1.1075093055381899</v>
      </c>
      <c r="BM52">
        <v>0.60579618568990001</v>
      </c>
      <c r="BN52">
        <v>1.86215256793885</v>
      </c>
      <c r="BO52">
        <v>7.9309292807918901</v>
      </c>
      <c r="BP52">
        <v>3.7243753586145401</v>
      </c>
      <c r="BQ52">
        <v>1.0481698336865</v>
      </c>
    </row>
    <row r="53" spans="1:70" x14ac:dyDescent="0.25">
      <c r="A53" t="s">
        <v>3118</v>
      </c>
      <c r="B53" t="s">
        <v>3119</v>
      </c>
      <c r="C53" t="s">
        <v>3023</v>
      </c>
      <c r="D53" t="s">
        <v>3024</v>
      </c>
      <c r="E53">
        <v>0.79020581796007305</v>
      </c>
      <c r="F53">
        <v>2.4307939100915901</v>
      </c>
      <c r="G53">
        <v>2.6778596874278802</v>
      </c>
      <c r="H53">
        <v>2.93161847051352</v>
      </c>
      <c r="I53">
        <v>3.32403316018127</v>
      </c>
      <c r="J53">
        <v>-0.66500000058340103</v>
      </c>
      <c r="K53">
        <v>0.18288283762152599</v>
      </c>
      <c r="L53">
        <v>1.2083403113442399</v>
      </c>
      <c r="M53">
        <v>4.0938914310683598</v>
      </c>
      <c r="N53">
        <v>2.6293408365833102</v>
      </c>
      <c r="O53">
        <v>4.6522974930315399</v>
      </c>
      <c r="P53">
        <v>3.08304841408706</v>
      </c>
      <c r="Q53">
        <v>4.60112569280858</v>
      </c>
      <c r="R53">
        <v>15.214034220418201</v>
      </c>
      <c r="S53">
        <v>30.073629280363601</v>
      </c>
      <c r="T53">
        <v>17.369202022655099</v>
      </c>
      <c r="U53">
        <v>3.4858333329170601</v>
      </c>
      <c r="V53">
        <v>4.1902404526166901</v>
      </c>
      <c r="W53">
        <v>6.0071270999490096</v>
      </c>
      <c r="X53">
        <v>9.1884104370097699</v>
      </c>
      <c r="Y53">
        <v>18.135170796070899</v>
      </c>
      <c r="Z53">
        <v>37.056341523951303</v>
      </c>
      <c r="AA53">
        <v>90.121332850416493</v>
      </c>
      <c r="AB53">
        <v>32.623708148783102</v>
      </c>
      <c r="AC53">
        <v>11.947427011886299</v>
      </c>
      <c r="AD53">
        <v>15.057419644575599</v>
      </c>
      <c r="AE53">
        <v>11.8350618936099</v>
      </c>
      <c r="AF53">
        <v>16.842420163039399</v>
      </c>
      <c r="AG53">
        <v>20.832533230920198</v>
      </c>
      <c r="AH53">
        <v>16.509808768738999</v>
      </c>
      <c r="AI53">
        <v>19.039752663564801</v>
      </c>
      <c r="AJ53">
        <v>28.709291370661699</v>
      </c>
      <c r="AK53">
        <v>21.791168790060901</v>
      </c>
      <c r="AL53">
        <v>9.7786007829377599</v>
      </c>
      <c r="AM53">
        <v>13.5344687273427</v>
      </c>
      <c r="AN53">
        <v>23.1864981102567</v>
      </c>
      <c r="AO53">
        <v>17.511452481459099</v>
      </c>
      <c r="AP53">
        <v>13.248044079119101</v>
      </c>
      <c r="AQ53">
        <v>11.6592997742233</v>
      </c>
      <c r="AR53">
        <v>10.0452817292494</v>
      </c>
      <c r="AS53">
        <v>10.9615496593622</v>
      </c>
      <c r="AT53">
        <v>11.2556157091171</v>
      </c>
      <c r="AU53">
        <v>9.1675204850911793</v>
      </c>
      <c r="AV53">
        <v>9.4475809161698301</v>
      </c>
      <c r="AW53">
        <v>12.3148150178852</v>
      </c>
      <c r="AX53">
        <v>13.798294910898701</v>
      </c>
      <c r="AY53">
        <v>11.4705968149052</v>
      </c>
      <c r="AZ53">
        <v>9.3572445641715696</v>
      </c>
      <c r="BA53">
        <v>13.4244635507283</v>
      </c>
      <c r="BB53">
        <v>7.8427016770065299</v>
      </c>
      <c r="BC53">
        <v>5.6627570842002104</v>
      </c>
      <c r="BD53">
        <v>4.8779983097070199</v>
      </c>
      <c r="BE53">
        <v>4.4954531435460501</v>
      </c>
      <c r="BF53">
        <v>5.2313361417442801</v>
      </c>
      <c r="BG53">
        <v>4.5192009851695296</v>
      </c>
      <c r="BH53">
        <v>0.80198200509962303</v>
      </c>
      <c r="BI53">
        <v>-1.7478850590821701E-2</v>
      </c>
      <c r="BJ53">
        <v>1.6259069299173099</v>
      </c>
      <c r="BK53">
        <v>2.2211146152658001</v>
      </c>
      <c r="BL53">
        <v>2.0960463532780702</v>
      </c>
      <c r="BM53">
        <v>0.72491147813137502</v>
      </c>
      <c r="BN53">
        <v>1.72647755109241</v>
      </c>
      <c r="BO53">
        <v>8.2747749023265396</v>
      </c>
      <c r="BP53">
        <v>0.52519350869345505</v>
      </c>
      <c r="BQ53">
        <v>-0.41285300104706901</v>
      </c>
    </row>
    <row r="54" spans="1:70" x14ac:dyDescent="0.25">
      <c r="A54" t="s">
        <v>3120</v>
      </c>
      <c r="B54" t="s">
        <v>3121</v>
      </c>
      <c r="C54" t="s">
        <v>3023</v>
      </c>
      <c r="D54" t="s">
        <v>3024</v>
      </c>
    </row>
    <row r="55" spans="1:70" x14ac:dyDescent="0.25">
      <c r="A55" t="s">
        <v>3122</v>
      </c>
      <c r="B55" t="s">
        <v>3123</v>
      </c>
      <c r="C55" t="s">
        <v>3023</v>
      </c>
      <c r="D55" t="s">
        <v>3024</v>
      </c>
    </row>
    <row r="56" spans="1:70" x14ac:dyDescent="0.25">
      <c r="A56" t="s">
        <v>3124</v>
      </c>
      <c r="B56" t="s">
        <v>3125</v>
      </c>
      <c r="C56" t="s">
        <v>3023</v>
      </c>
      <c r="D56" t="s">
        <v>3024</v>
      </c>
      <c r="AT56">
        <v>1.7928286852589601</v>
      </c>
      <c r="AU56">
        <v>0.39138943248532398</v>
      </c>
      <c r="AV56">
        <v>1.6337139144157</v>
      </c>
      <c r="AW56">
        <v>1.3791213809479901</v>
      </c>
      <c r="AX56">
        <v>4.1171171171170702</v>
      </c>
      <c r="AY56">
        <v>3.1149952409794901</v>
      </c>
      <c r="AZ56">
        <v>2.99572039942908</v>
      </c>
      <c r="BA56">
        <v>6.8763239367775997</v>
      </c>
      <c r="BB56">
        <v>1.7533160542759501</v>
      </c>
      <c r="BC56">
        <v>2.7794426131258598</v>
      </c>
      <c r="BD56">
        <v>2.3325315256216999</v>
      </c>
      <c r="BE56">
        <v>3.1839874634945402</v>
      </c>
      <c r="BF56">
        <v>1.3323208615211699</v>
      </c>
      <c r="BG56">
        <v>1.49873969616429</v>
      </c>
      <c r="BH56">
        <v>-0.47654204980140402</v>
      </c>
      <c r="BI56">
        <v>-4.7207984894029199E-2</v>
      </c>
      <c r="BJ56">
        <v>1.58558801700344</v>
      </c>
      <c r="BK56">
        <v>2.58368756641813</v>
      </c>
      <c r="BL56">
        <v>2.6222078342505801</v>
      </c>
    </row>
    <row r="57" spans="1:70" x14ac:dyDescent="0.25">
      <c r="A57" t="s">
        <v>3126</v>
      </c>
      <c r="B57" t="s">
        <v>3127</v>
      </c>
      <c r="C57" t="s">
        <v>3023</v>
      </c>
      <c r="D57" t="s">
        <v>3024</v>
      </c>
      <c r="BC57">
        <v>0.27614086175010799</v>
      </c>
      <c r="BD57">
        <v>1.32543575779664</v>
      </c>
      <c r="BE57">
        <v>1.1889484524560701</v>
      </c>
      <c r="BF57">
        <v>2.1606114681338999</v>
      </c>
      <c r="BG57">
        <v>1.27397911533387</v>
      </c>
      <c r="BH57">
        <v>-2.34752770165615</v>
      </c>
      <c r="BI57">
        <v>-0.62525835861814005</v>
      </c>
    </row>
    <row r="58" spans="1:70" x14ac:dyDescent="0.25">
      <c r="A58" t="s">
        <v>3128</v>
      </c>
      <c r="B58" t="s">
        <v>3129</v>
      </c>
      <c r="C58" t="s">
        <v>3023</v>
      </c>
      <c r="D58" t="s">
        <v>3024</v>
      </c>
      <c r="E58">
        <v>0.82730093071394595</v>
      </c>
      <c r="F58">
        <v>-0.61538461538494504</v>
      </c>
      <c r="G58">
        <v>0.103199174406311</v>
      </c>
      <c r="H58">
        <v>1.9587628865985001</v>
      </c>
      <c r="I58">
        <v>-0.30333670475253699</v>
      </c>
      <c r="J58">
        <v>0.202839756594411</v>
      </c>
      <c r="K58">
        <v>0.50607287449888505</v>
      </c>
      <c r="L58">
        <v>0.70493454280658996</v>
      </c>
      <c r="M58">
        <v>3.7666666661669699</v>
      </c>
      <c r="N58">
        <v>2.38515901013024</v>
      </c>
      <c r="O58">
        <v>2.4001882503169001</v>
      </c>
      <c r="P58">
        <v>4.1440061282545404</v>
      </c>
      <c r="Q58">
        <v>4.8323036186564803</v>
      </c>
      <c r="R58">
        <v>7.8088823405225902</v>
      </c>
      <c r="S58">
        <v>16.1766666665001</v>
      </c>
      <c r="T58">
        <v>4.63948584046548</v>
      </c>
      <c r="U58">
        <v>3.8543897216272902</v>
      </c>
      <c r="V58">
        <v>7.3264604810132496</v>
      </c>
      <c r="W58">
        <v>7.4362832989465799</v>
      </c>
      <c r="X58">
        <v>9.4637082951901892</v>
      </c>
      <c r="Y58">
        <v>13.517560577258299</v>
      </c>
      <c r="Z58">
        <v>10.744693608397601</v>
      </c>
      <c r="AA58">
        <v>6.4327972669368902</v>
      </c>
      <c r="AB58">
        <v>5.0497142410087799</v>
      </c>
      <c r="AC58">
        <v>5.9919511104844299</v>
      </c>
      <c r="AD58">
        <v>5.0344536636479598</v>
      </c>
      <c r="AE58">
        <v>1.21836925967664</v>
      </c>
      <c r="AF58">
        <v>2.7916666666669601</v>
      </c>
      <c r="AG58">
        <v>3.4292663153628502</v>
      </c>
      <c r="AH58">
        <v>3.7654804828338899</v>
      </c>
      <c r="AI58">
        <v>4.5020546289584198</v>
      </c>
      <c r="AJ58">
        <v>5.0352743884810396</v>
      </c>
      <c r="AK58">
        <v>6.5102195306581798</v>
      </c>
      <c r="AL58">
        <v>4.8541666666669201</v>
      </c>
      <c r="AM58">
        <v>4.6985893105498002</v>
      </c>
      <c r="AN58">
        <v>2.61581787956337</v>
      </c>
      <c r="AO58">
        <v>2.9789248648126501</v>
      </c>
      <c r="AP58">
        <v>3.6053444436462798</v>
      </c>
      <c r="AQ58">
        <v>2.2277073265431602</v>
      </c>
      <c r="AR58">
        <v>1.6299999999999799</v>
      </c>
      <c r="AS58">
        <v>4.1416576470206001</v>
      </c>
      <c r="AT58">
        <v>1.97304191729914</v>
      </c>
      <c r="AU58">
        <v>2.8011550518074602</v>
      </c>
      <c r="AV58">
        <v>4.1390653868685803</v>
      </c>
      <c r="AW58">
        <v>2.28621706801674</v>
      </c>
      <c r="AX58">
        <v>2.5601613233023301</v>
      </c>
      <c r="AY58">
        <v>2.3046873297855499</v>
      </c>
      <c r="AZ58">
        <v>2.37265183669719</v>
      </c>
      <c r="BA58">
        <v>4.6690084190248502</v>
      </c>
      <c r="BB58">
        <v>0.32627665224979302</v>
      </c>
      <c r="BC58">
        <v>2.43004084102254</v>
      </c>
      <c r="BD58">
        <v>3.28944939564211</v>
      </c>
      <c r="BE58">
        <v>2.3890541004231598</v>
      </c>
      <c r="BF58">
        <v>-0.39935767646442499</v>
      </c>
      <c r="BG58">
        <v>-1.3549888544631401</v>
      </c>
      <c r="BH58">
        <v>-2.0969976905310999</v>
      </c>
      <c r="BI58">
        <v>-1.42916666666665</v>
      </c>
      <c r="BJ58">
        <v>0.53176649617446703</v>
      </c>
      <c r="BK58">
        <v>1.43549119531759</v>
      </c>
      <c r="BL58">
        <v>0.250370996758493</v>
      </c>
      <c r="BM58">
        <v>-0.63842279797895796</v>
      </c>
      <c r="BN58">
        <v>2.4460886717547399</v>
      </c>
      <c r="BO58">
        <v>8.3954829799333393</v>
      </c>
      <c r="BP58">
        <v>3.54134188751663</v>
      </c>
      <c r="BQ58">
        <v>1.80023018624815</v>
      </c>
    </row>
    <row r="59" spans="1:70" x14ac:dyDescent="0.25">
      <c r="A59" t="s">
        <v>3130</v>
      </c>
      <c r="B59" t="s">
        <v>3131</v>
      </c>
      <c r="C59" t="s">
        <v>3023</v>
      </c>
      <c r="D59" t="s">
        <v>3024</v>
      </c>
      <c r="AK59">
        <v>11.086500072223</v>
      </c>
      <c r="AL59">
        <v>20.813029543842799</v>
      </c>
      <c r="AM59">
        <v>10.039429835143</v>
      </c>
      <c r="AN59">
        <v>8.9905236147844807</v>
      </c>
      <c r="AO59">
        <v>8.7587747287811109</v>
      </c>
      <c r="AP59">
        <v>8.5961566671556398</v>
      </c>
      <c r="AQ59">
        <v>10.6983655274888</v>
      </c>
      <c r="AR59">
        <v>2.1354484441732899</v>
      </c>
      <c r="AS59">
        <v>3.7753882915172898</v>
      </c>
      <c r="AT59">
        <v>4.6626755698825697</v>
      </c>
      <c r="AU59">
        <v>1.90298097019026</v>
      </c>
      <c r="AV59">
        <v>0.118739205526814</v>
      </c>
      <c r="AW59">
        <v>2.76010781671153</v>
      </c>
      <c r="AX59">
        <v>1.85709789109228</v>
      </c>
      <c r="AY59">
        <v>2.5339925834363299</v>
      </c>
      <c r="AZ59">
        <v>2.8531243721116999</v>
      </c>
      <c r="BA59">
        <v>6.3586638015236998</v>
      </c>
      <c r="BB59">
        <v>1.0193773532922901</v>
      </c>
      <c r="BC59">
        <v>1.47272727272728</v>
      </c>
      <c r="BD59">
        <v>1.9172191363555</v>
      </c>
      <c r="BE59">
        <v>3.2876230661041101</v>
      </c>
      <c r="BF59">
        <v>1.4382978723404001</v>
      </c>
      <c r="BG59">
        <v>0.34398858964679302</v>
      </c>
      <c r="BH59">
        <v>0.30936454849497502</v>
      </c>
      <c r="BI59">
        <v>0.683504209385702</v>
      </c>
      <c r="BJ59">
        <v>2.4505339846014</v>
      </c>
      <c r="BK59">
        <v>2.1494949494949198</v>
      </c>
      <c r="BL59">
        <v>2.8478759591804099</v>
      </c>
      <c r="BM59">
        <v>3.1612952849781002</v>
      </c>
      <c r="BN59">
        <v>3.8398449150014602</v>
      </c>
      <c r="BO59">
        <v>15.100165146837</v>
      </c>
      <c r="BP59">
        <v>10.661260137242699</v>
      </c>
      <c r="BQ59">
        <v>2.4353120243531401</v>
      </c>
    </row>
    <row r="60" spans="1:70" s="114" customFormat="1" x14ac:dyDescent="0.25">
      <c r="A60" s="79" t="s">
        <v>2943</v>
      </c>
      <c r="B60" s="79" t="s">
        <v>3132</v>
      </c>
      <c r="C60" s="79" t="s">
        <v>3023</v>
      </c>
      <c r="D60" s="79" t="s">
        <v>3024</v>
      </c>
      <c r="E60" s="79">
        <v>1.53661234295201</v>
      </c>
      <c r="F60" s="79">
        <v>2.2936950070088402</v>
      </c>
      <c r="G60" s="79">
        <v>2.8432701979906101</v>
      </c>
      <c r="H60" s="79">
        <v>2.9669597758771</v>
      </c>
      <c r="I60" s="79">
        <v>2.3357358117783198</v>
      </c>
      <c r="J60" s="79">
        <v>3.2423192366813298</v>
      </c>
      <c r="K60" s="79">
        <v>3.53306035477689</v>
      </c>
      <c r="L60" s="79">
        <v>1.7960499221317401</v>
      </c>
      <c r="M60" s="79">
        <v>1.4702893132770001</v>
      </c>
      <c r="N60" s="79">
        <v>1.91267848797595</v>
      </c>
      <c r="O60" s="79">
        <v>3.4502493636089402</v>
      </c>
      <c r="P60" s="79">
        <v>5.2409744827309401</v>
      </c>
      <c r="Q60" s="79">
        <v>5.4849331221432003</v>
      </c>
      <c r="R60" s="79">
        <v>7.0320239930389796</v>
      </c>
      <c r="S60" s="79">
        <v>6.9864310932749696</v>
      </c>
      <c r="T60" s="79">
        <v>5.9103362632410397</v>
      </c>
      <c r="U60" s="79">
        <v>4.2466310229920898</v>
      </c>
      <c r="V60" s="79">
        <v>3.7341624063514698</v>
      </c>
      <c r="W60" s="79">
        <v>2.71869696123338</v>
      </c>
      <c r="X60" s="79">
        <v>4.0436200647339904</v>
      </c>
      <c r="Y60" s="79">
        <v>5.4410575446034599</v>
      </c>
      <c r="Z60" s="79">
        <v>6.3442427774632497</v>
      </c>
      <c r="AA60" s="79">
        <v>5.2410450722842201</v>
      </c>
      <c r="AB60" s="79">
        <v>3.2934147430285301</v>
      </c>
      <c r="AC60" s="79">
        <v>2.4057933993195899</v>
      </c>
      <c r="AD60" s="79">
        <v>2.0662330121657999</v>
      </c>
      <c r="AE60" s="79">
        <v>-0.129413360854742</v>
      </c>
      <c r="AF60" s="79">
        <v>0.249906108705029</v>
      </c>
      <c r="AG60" s="79">
        <v>1.2741189400692301</v>
      </c>
      <c r="AH60" s="79">
        <v>2.7805695556975101</v>
      </c>
      <c r="AI60" s="79">
        <v>2.69646824292392</v>
      </c>
      <c r="AJ60" s="79">
        <v>4.0470325975346597</v>
      </c>
      <c r="AK60" s="79">
        <v>5.0569779673172999</v>
      </c>
      <c r="AL60" s="79">
        <v>4.4745765075280799</v>
      </c>
      <c r="AM60" s="79">
        <v>2.6930563985495399</v>
      </c>
      <c r="AN60" s="79">
        <v>1.7061604131707599</v>
      </c>
      <c r="AO60" s="79">
        <v>1.4497270196323799</v>
      </c>
      <c r="AP60" s="79">
        <v>1.93937198922729</v>
      </c>
      <c r="AQ60" s="79">
        <v>0.91118353501440297</v>
      </c>
      <c r="AR60" s="79">
        <v>0.58543306423078301</v>
      </c>
      <c r="AS60" s="79">
        <v>1.44026838719741</v>
      </c>
      <c r="AT60" s="79">
        <v>1.9838573133447099</v>
      </c>
      <c r="AU60" s="79">
        <v>1.42080615551526</v>
      </c>
      <c r="AV60" s="79">
        <v>1.03422218628562</v>
      </c>
      <c r="AW60" s="79">
        <v>1.66573696655991</v>
      </c>
      <c r="AX60" s="79">
        <v>1.54691114751328</v>
      </c>
      <c r="AY60" s="79">
        <v>1.5774264284056301</v>
      </c>
      <c r="AZ60" s="79">
        <v>2.2983440070094998</v>
      </c>
      <c r="BA60" s="79">
        <v>2.6283798163721901</v>
      </c>
      <c r="BB60" s="79">
        <v>0.31273900736844601</v>
      </c>
      <c r="BC60" s="79">
        <v>1.1038103778926001</v>
      </c>
      <c r="BD60" s="79">
        <v>2.0751728373587399</v>
      </c>
      <c r="BE60" s="79">
        <v>2.0084888478295602</v>
      </c>
      <c r="BF60" s="79">
        <v>1.5047233025187601</v>
      </c>
      <c r="BG60" s="79">
        <v>0.90679400043424496</v>
      </c>
      <c r="BH60" s="79">
        <v>0.51442613712545604</v>
      </c>
      <c r="BI60" s="79">
        <v>0.49174700844517399</v>
      </c>
      <c r="BJ60" s="79">
        <v>1.50949485109628</v>
      </c>
      <c r="BK60" s="79">
        <v>1.73216879766941</v>
      </c>
      <c r="BL60" s="79">
        <v>1.4456597688825299</v>
      </c>
      <c r="BM60" s="79">
        <v>0.14487792581398101</v>
      </c>
      <c r="BN60" s="79">
        <v>3.0666666666667299</v>
      </c>
      <c r="BO60" s="79">
        <v>6.8725743855109602</v>
      </c>
      <c r="BP60" s="79">
        <v>5.9464366772582302</v>
      </c>
      <c r="BQ60" s="79">
        <v>2.2564981433876001</v>
      </c>
      <c r="BR60" s="79"/>
    </row>
    <row r="61" spans="1:70" x14ac:dyDescent="0.25">
      <c r="A61" t="s">
        <v>3133</v>
      </c>
      <c r="B61" t="s">
        <v>3134</v>
      </c>
      <c r="C61" t="s">
        <v>3023</v>
      </c>
      <c r="D61" t="s">
        <v>3024</v>
      </c>
      <c r="Y61">
        <v>12.058023572185499</v>
      </c>
      <c r="Z61">
        <v>5.7173678537411599</v>
      </c>
      <c r="AA61">
        <v>-2.41071428572344</v>
      </c>
      <c r="AB61">
        <v>0.90184289635686299</v>
      </c>
      <c r="AC61">
        <v>1.88471502578426</v>
      </c>
      <c r="AD61">
        <v>2.12890298848072</v>
      </c>
      <c r="AE61">
        <v>18.147633450986</v>
      </c>
      <c r="AF61">
        <v>4.0891164464121399</v>
      </c>
      <c r="AT61">
        <v>1.74665224985434</v>
      </c>
      <c r="AU61">
        <v>0.63761955366631895</v>
      </c>
      <c r="AV61">
        <v>1.9819673462754399</v>
      </c>
      <c r="AW61">
        <v>3.1222620469935198</v>
      </c>
      <c r="AX61">
        <v>3.1049664014829901</v>
      </c>
      <c r="AY61">
        <v>3.4834069967786601</v>
      </c>
      <c r="AZ61">
        <v>4.9659765455330103</v>
      </c>
      <c r="BA61">
        <v>11.958620689655101</v>
      </c>
      <c r="BB61">
        <v>1.6754958728596201</v>
      </c>
      <c r="BC61">
        <v>3.9500787592388602</v>
      </c>
      <c r="BD61">
        <v>5.0687139477798002</v>
      </c>
      <c r="BE61">
        <v>3.7312095075688698</v>
      </c>
      <c r="BF61">
        <v>-12.563149225034</v>
      </c>
      <c r="BG61">
        <v>1.3418649434016201</v>
      </c>
      <c r="BH61">
        <v>-0.52216652144579301</v>
      </c>
      <c r="BI61">
        <v>2.4025290543488902</v>
      </c>
      <c r="BJ61">
        <v>0.57728572456065996</v>
      </c>
      <c r="BK61">
        <v>0.13883640001140499</v>
      </c>
      <c r="BL61">
        <v>3.3176320329960198</v>
      </c>
      <c r="BM61">
        <v>1.77900535643955</v>
      </c>
      <c r="BN61">
        <v>1.18086783934059</v>
      </c>
      <c r="BO61">
        <v>5.1722208864760502</v>
      </c>
      <c r="BP61">
        <v>1.44905087029085</v>
      </c>
      <c r="BQ61">
        <v>2.1120116728496998</v>
      </c>
    </row>
    <row r="62" spans="1:70" x14ac:dyDescent="0.25">
      <c r="A62" t="s">
        <v>3135</v>
      </c>
      <c r="B62" t="s">
        <v>3136</v>
      </c>
      <c r="C62" t="s">
        <v>3023</v>
      </c>
      <c r="D62" t="s">
        <v>3024</v>
      </c>
      <c r="L62">
        <v>0.95245654425542903</v>
      </c>
      <c r="M62">
        <v>5.3699190185796697</v>
      </c>
      <c r="N62">
        <v>4.2157886885082201</v>
      </c>
      <c r="O62">
        <v>12.3934989618913</v>
      </c>
      <c r="P62">
        <v>3.6374060388718301</v>
      </c>
      <c r="Q62">
        <v>3.68799557454747</v>
      </c>
      <c r="R62">
        <v>12.099116723085</v>
      </c>
      <c r="S62">
        <v>34.376074252320301</v>
      </c>
      <c r="T62">
        <v>19.902788436940199</v>
      </c>
      <c r="U62">
        <v>10.902496266268599</v>
      </c>
      <c r="V62">
        <v>9.5036552520199393</v>
      </c>
      <c r="W62">
        <v>7.7125790583272602</v>
      </c>
      <c r="Z62">
        <v>13.2666874934914</v>
      </c>
      <c r="AA62">
        <v>4.3945940976373699</v>
      </c>
      <c r="AB62">
        <v>4.1479524438573199</v>
      </c>
      <c r="AC62">
        <v>2.2179942499574001</v>
      </c>
      <c r="AD62">
        <v>3.7399799806423899</v>
      </c>
      <c r="AE62">
        <v>2.7742336767570599</v>
      </c>
      <c r="AF62">
        <v>4.0245804334163404</v>
      </c>
      <c r="AG62">
        <v>2.9245916312374098</v>
      </c>
      <c r="AH62">
        <v>6.2185214977785899</v>
      </c>
      <c r="AI62">
        <v>3.1909232322682102</v>
      </c>
      <c r="AJ62">
        <v>5.5570615342913197</v>
      </c>
      <c r="AK62">
        <v>5.4718255934417703</v>
      </c>
      <c r="AL62">
        <v>1.56902604224498</v>
      </c>
      <c r="AM62">
        <v>1.51367351744227E-2</v>
      </c>
      <c r="AN62">
        <v>1.3175374577496901</v>
      </c>
      <c r="AO62">
        <v>1.6771645048591299</v>
      </c>
      <c r="AP62">
        <v>2.4362971547967298</v>
      </c>
      <c r="AQ62">
        <v>0.99914745791074799</v>
      </c>
      <c r="AR62">
        <v>1.17947787394174</v>
      </c>
      <c r="AS62">
        <v>0.856946805358482</v>
      </c>
      <c r="AT62">
        <v>1.3038940346596</v>
      </c>
      <c r="AU62">
        <v>0.17005533019768099</v>
      </c>
      <c r="AV62">
        <v>1.4533680043724999</v>
      </c>
      <c r="AW62">
        <v>2.39410982050298</v>
      </c>
      <c r="AX62">
        <v>1.6819007987755199</v>
      </c>
      <c r="AY62">
        <v>2.2023913263166901</v>
      </c>
      <c r="AZ62">
        <v>3.6322212931781999</v>
      </c>
      <c r="BA62">
        <v>6.3599218333629501</v>
      </c>
      <c r="BB62">
        <v>6.2635710706685898E-3</v>
      </c>
      <c r="BC62">
        <v>2.9993663054900002</v>
      </c>
      <c r="BD62">
        <v>1.1312313652648001</v>
      </c>
      <c r="BE62">
        <v>1.35677147808859</v>
      </c>
      <c r="BF62">
        <v>-4.6411646880599101E-2</v>
      </c>
      <c r="BG62">
        <v>0.79925037268749199</v>
      </c>
      <c r="BH62">
        <v>-0.84382698463832895</v>
      </c>
      <c r="BI62">
        <v>0.14181622573231201</v>
      </c>
      <c r="BJ62">
        <v>0.29625288927948601</v>
      </c>
      <c r="BK62">
        <v>0.989191119189889</v>
      </c>
      <c r="BL62">
        <v>1.50462353858141</v>
      </c>
      <c r="BM62">
        <v>1.2202644224247601</v>
      </c>
      <c r="BN62">
        <v>2.2289133070034302</v>
      </c>
      <c r="BO62">
        <v>2.8849022682935299</v>
      </c>
      <c r="BP62">
        <v>5.0867748315811099</v>
      </c>
      <c r="BQ62">
        <v>2.5692189036772501</v>
      </c>
    </row>
    <row r="63" spans="1:70" x14ac:dyDescent="0.25">
      <c r="A63" t="s">
        <v>3137</v>
      </c>
      <c r="B63" t="s">
        <v>3138</v>
      </c>
      <c r="C63" t="s">
        <v>3023</v>
      </c>
      <c r="D63" t="s">
        <v>3024</v>
      </c>
      <c r="E63">
        <v>1.25523012552924</v>
      </c>
      <c r="F63">
        <v>3.4516285855782498</v>
      </c>
      <c r="G63">
        <v>7.3778195481845996</v>
      </c>
      <c r="H63">
        <v>6.1050328230293198</v>
      </c>
      <c r="I63">
        <v>3.0927835051544799</v>
      </c>
      <c r="J63">
        <v>5.4499999992505002</v>
      </c>
      <c r="K63">
        <v>7.06495969658814</v>
      </c>
      <c r="L63">
        <v>8.2078535584402204</v>
      </c>
      <c r="M63">
        <v>8.0052071036645795</v>
      </c>
      <c r="N63">
        <v>3.48791924395193</v>
      </c>
      <c r="O63">
        <v>6.5148414165298698</v>
      </c>
      <c r="P63">
        <v>5.8698695907189498</v>
      </c>
      <c r="Q63">
        <v>6.5623609025654197</v>
      </c>
      <c r="R63">
        <v>9.3033829797366696</v>
      </c>
      <c r="S63">
        <v>15.2752062218395</v>
      </c>
      <c r="T63">
        <v>9.6056120753867003</v>
      </c>
      <c r="U63">
        <v>9.0102908356222393</v>
      </c>
      <c r="V63">
        <v>10.9222378100329</v>
      </c>
      <c r="W63">
        <v>10.213654571040401</v>
      </c>
      <c r="X63">
        <v>9.6110503790711803</v>
      </c>
      <c r="Y63">
        <v>12.3053240760182</v>
      </c>
      <c r="Z63">
        <v>11.767387434418101</v>
      </c>
      <c r="AA63">
        <v>10.1208256779822</v>
      </c>
      <c r="AB63">
        <v>6.9082288115884403</v>
      </c>
      <c r="AC63">
        <v>6.29077936023769</v>
      </c>
      <c r="AD63">
        <v>4.6787514518325404</v>
      </c>
      <c r="AE63">
        <v>3.6781841186345199</v>
      </c>
      <c r="AF63">
        <v>4.0199934568316102</v>
      </c>
      <c r="AG63">
        <v>4.53513301015726</v>
      </c>
      <c r="AH63">
        <v>4.7727234243551804</v>
      </c>
      <c r="AI63">
        <v>2.6416030638200101</v>
      </c>
      <c r="AJ63">
        <v>2.3951533172441599</v>
      </c>
      <c r="AK63">
        <v>2.0960444293321299</v>
      </c>
      <c r="AL63">
        <v>1.2578566795326001</v>
      </c>
      <c r="AM63">
        <v>1.99201463809517</v>
      </c>
      <c r="AN63">
        <v>2.0836084238285402</v>
      </c>
      <c r="AO63">
        <v>2.12629802275577</v>
      </c>
      <c r="AP63">
        <v>2.1821667790712</v>
      </c>
      <c r="AQ63">
        <v>1.84565122007883</v>
      </c>
      <c r="AR63">
        <v>2.4977954440452899</v>
      </c>
      <c r="AS63">
        <v>2.90328203236461</v>
      </c>
      <c r="AT63">
        <v>2.33787000255262</v>
      </c>
      <c r="AU63">
        <v>2.4244366121969398</v>
      </c>
      <c r="AV63">
        <v>2.0750782064650601</v>
      </c>
      <c r="AW63">
        <v>1.15435693124934</v>
      </c>
      <c r="AX63">
        <v>1.8178145829125401</v>
      </c>
      <c r="AY63">
        <v>1.92422138464584</v>
      </c>
      <c r="AZ63">
        <v>1.6932658622032399</v>
      </c>
      <c r="BA63">
        <v>3.4162679425837399</v>
      </c>
      <c r="BB63">
        <v>1.3047099102433499</v>
      </c>
      <c r="BC63">
        <v>2.3109243697478599</v>
      </c>
      <c r="BD63">
        <v>2.7586822605124999</v>
      </c>
      <c r="BE63">
        <v>2.3979148566464001</v>
      </c>
      <c r="BF63">
        <v>0.789071780078062</v>
      </c>
      <c r="BG63">
        <v>0.56402054044953998</v>
      </c>
      <c r="BH63">
        <v>0.45203415369157401</v>
      </c>
      <c r="BI63">
        <v>0.25000000000003098</v>
      </c>
      <c r="BJ63">
        <v>1.1471321695760099</v>
      </c>
      <c r="BK63">
        <v>0.81360946745563101</v>
      </c>
      <c r="BL63">
        <v>0.75813157251162</v>
      </c>
      <c r="BM63">
        <v>0.42071197411002398</v>
      </c>
      <c r="BN63">
        <v>1.8530454398968901</v>
      </c>
      <c r="BO63">
        <v>7.6965669988925898</v>
      </c>
      <c r="BP63">
        <v>3.30517811237605</v>
      </c>
      <c r="BQ63">
        <v>1.3722004976892499</v>
      </c>
    </row>
    <row r="64" spans="1:70" x14ac:dyDescent="0.25">
      <c r="A64" t="s">
        <v>3139</v>
      </c>
      <c r="B64" t="s">
        <v>3140</v>
      </c>
      <c r="C64" t="s">
        <v>3023</v>
      </c>
      <c r="D64" t="s">
        <v>3024</v>
      </c>
      <c r="E64">
        <v>-3.5621917997605399</v>
      </c>
      <c r="F64">
        <v>-3.9000000009998801</v>
      </c>
      <c r="G64">
        <v>9.1571279917706594</v>
      </c>
      <c r="H64">
        <v>8.5795996187662205</v>
      </c>
      <c r="I64">
        <v>2.10711150133544</v>
      </c>
      <c r="J64">
        <v>-1.8916595013060999</v>
      </c>
      <c r="K64">
        <v>0.26292725679453899</v>
      </c>
      <c r="L64">
        <v>1.2383449887198701</v>
      </c>
      <c r="M64">
        <v>3.5976399338231199E-2</v>
      </c>
      <c r="N64">
        <v>0.95662806617912499</v>
      </c>
      <c r="O64">
        <v>3.8166666664170901</v>
      </c>
      <c r="P64">
        <v>3.5800288967813101</v>
      </c>
      <c r="Q64">
        <v>8.6407315560757407</v>
      </c>
      <c r="R64">
        <v>15.079534916913801</v>
      </c>
      <c r="S64">
        <v>13.1407673714853</v>
      </c>
      <c r="T64">
        <v>14.501725743761501</v>
      </c>
      <c r="U64">
        <v>7.7655502392567701</v>
      </c>
      <c r="V64">
        <v>12.8535275054286</v>
      </c>
      <c r="W64">
        <v>3.4778503421217799</v>
      </c>
      <c r="X64">
        <v>9.1738051335144508</v>
      </c>
      <c r="Y64">
        <v>16.753135689710099</v>
      </c>
      <c r="Z64">
        <v>7.5146389069615704</v>
      </c>
      <c r="AA64">
        <v>7.6462430660614702</v>
      </c>
      <c r="AB64">
        <v>5.62862329448987</v>
      </c>
      <c r="AC64">
        <v>20.1516781053536</v>
      </c>
      <c r="AD64">
        <v>45.336175553217799</v>
      </c>
      <c r="AE64">
        <v>7.6389726657992902</v>
      </c>
      <c r="AF64">
        <v>13.5507237827822</v>
      </c>
      <c r="AG64">
        <v>43.863832351505202</v>
      </c>
      <c r="AH64">
        <v>40.657916117500399</v>
      </c>
      <c r="AI64">
        <v>50.462479237852399</v>
      </c>
      <c r="AJ64">
        <v>47.079157410535899</v>
      </c>
      <c r="AK64">
        <v>4.2590263889339202</v>
      </c>
      <c r="AL64">
        <v>5.2503388069097001</v>
      </c>
      <c r="AM64">
        <v>8.2607679857583403</v>
      </c>
      <c r="AN64">
        <v>12.535959455896201</v>
      </c>
      <c r="AO64">
        <v>5.3992938503892196</v>
      </c>
      <c r="AP64">
        <v>8.2965675479204499</v>
      </c>
      <c r="AQ64">
        <v>4.8316655859189499</v>
      </c>
      <c r="AR64">
        <v>6.4705418684692804</v>
      </c>
      <c r="AS64">
        <v>7.7241356618161499</v>
      </c>
      <c r="AT64">
        <v>8.8830684881296005</v>
      </c>
      <c r="AU64">
        <v>5.2233676975944601</v>
      </c>
      <c r="AV64">
        <v>27.449712739439398</v>
      </c>
      <c r="AW64">
        <v>51.460859833806502</v>
      </c>
      <c r="AX64">
        <v>4.1902026047205601</v>
      </c>
      <c r="AY64">
        <v>7.5728052385307301</v>
      </c>
      <c r="AZ64">
        <v>6.1435665524804701</v>
      </c>
      <c r="BA64">
        <v>10.6446210953711</v>
      </c>
      <c r="BB64">
        <v>1.4421513183435299</v>
      </c>
      <c r="BC64">
        <v>6.3299322014614603</v>
      </c>
      <c r="BD64">
        <v>5.7967680920653297</v>
      </c>
      <c r="BE64">
        <v>3.69449707884776</v>
      </c>
      <c r="BF64">
        <v>4.8309509674079996</v>
      </c>
      <c r="BG64">
        <v>2.9986422612521801</v>
      </c>
      <c r="BH64">
        <v>0.83674634672455594</v>
      </c>
      <c r="BI64">
        <v>1.61416607245222</v>
      </c>
      <c r="BJ64">
        <v>3.2795569467854602</v>
      </c>
      <c r="BK64">
        <v>3.5644342601350698</v>
      </c>
      <c r="BL64">
        <v>1.8106037704295901</v>
      </c>
      <c r="BM64">
        <v>3.7810317991551599</v>
      </c>
      <c r="BN64">
        <v>8.2430034798180891</v>
      </c>
      <c r="BO64">
        <v>8.8110920927958691</v>
      </c>
      <c r="BP64">
        <v>4.78561281021135</v>
      </c>
      <c r="BQ64">
        <v>3.3022333895122702</v>
      </c>
    </row>
    <row r="65" spans="1:69" x14ac:dyDescent="0.25">
      <c r="A65" t="s">
        <v>3141</v>
      </c>
      <c r="B65" t="s">
        <v>3142</v>
      </c>
      <c r="C65" t="s">
        <v>3023</v>
      </c>
      <c r="D65" t="s">
        <v>3024</v>
      </c>
      <c r="O65">
        <v>6.5999999990001701</v>
      </c>
      <c r="P65">
        <v>2.6266416510563402</v>
      </c>
      <c r="Q65">
        <v>3.6563071298323502</v>
      </c>
      <c r="R65">
        <v>6.1728395062271497</v>
      </c>
      <c r="S65">
        <v>4.69961240341694</v>
      </c>
      <c r="T65">
        <v>8.23031665265143</v>
      </c>
      <c r="U65">
        <v>9.4307354017455705</v>
      </c>
      <c r="V65">
        <v>11.989283322105001</v>
      </c>
      <c r="W65">
        <v>17.5239234455032</v>
      </c>
      <c r="X65">
        <v>11.348600508609101</v>
      </c>
      <c r="Y65">
        <v>9.5178244975496291</v>
      </c>
      <c r="Z65">
        <v>14.6548426360634</v>
      </c>
      <c r="AA65">
        <v>6.5425096300767303</v>
      </c>
      <c r="AB65">
        <v>5.9671639303272004</v>
      </c>
      <c r="AC65">
        <v>8.1163979551709993</v>
      </c>
      <c r="AD65">
        <v>10.4822870444467</v>
      </c>
      <c r="AE65">
        <v>12.371609165129801</v>
      </c>
      <c r="AF65">
        <v>7.4412609128724698</v>
      </c>
      <c r="AG65">
        <v>5.9115449637348796</v>
      </c>
      <c r="AH65">
        <v>9.3043612584316495</v>
      </c>
      <c r="AI65">
        <v>16.652534388543199</v>
      </c>
      <c r="AJ65">
        <v>25.886386934851298</v>
      </c>
      <c r="AK65">
        <v>31.669661911714901</v>
      </c>
      <c r="AL65">
        <v>20.540326123582599</v>
      </c>
      <c r="AM65">
        <v>29.047656117307099</v>
      </c>
      <c r="AN65">
        <v>29.779626486499801</v>
      </c>
      <c r="AO65">
        <v>18.679075860174901</v>
      </c>
      <c r="AP65">
        <v>5.7335227535718598</v>
      </c>
      <c r="AQ65">
        <v>4.9501616379311404</v>
      </c>
      <c r="AR65">
        <v>2.6455111339279802</v>
      </c>
      <c r="AS65">
        <v>0.33916318907176801</v>
      </c>
      <c r="AT65">
        <v>4.2259883485467302</v>
      </c>
      <c r="AU65">
        <v>1.4183019234505001</v>
      </c>
      <c r="AV65">
        <v>4.2689539583949996</v>
      </c>
      <c r="AW65">
        <v>3.96180030257187</v>
      </c>
      <c r="AX65">
        <v>1.38244656662118</v>
      </c>
      <c r="AY65">
        <v>2.3114991851442301</v>
      </c>
      <c r="AZ65">
        <v>3.6789957474169901</v>
      </c>
      <c r="BA65">
        <v>4.85859062814938</v>
      </c>
      <c r="BB65">
        <v>5.7370603614562699</v>
      </c>
      <c r="BC65">
        <v>3.9110619553402799</v>
      </c>
      <c r="BD65">
        <v>4.5242115050527003</v>
      </c>
      <c r="BE65">
        <v>8.8914509106231705</v>
      </c>
      <c r="BF65">
        <v>3.25423910998847</v>
      </c>
      <c r="BG65">
        <v>2.9169269206745798</v>
      </c>
      <c r="BH65">
        <v>4.7844470069388896</v>
      </c>
      <c r="BI65">
        <v>6.3976948026875604</v>
      </c>
      <c r="BJ65">
        <v>5.5911159096166303</v>
      </c>
      <c r="BK65">
        <v>4.2699902046708296</v>
      </c>
      <c r="BL65">
        <v>1.95176821052891</v>
      </c>
      <c r="BM65">
        <v>2.4151309408341302</v>
      </c>
      <c r="BN65">
        <v>7.2260630741547702</v>
      </c>
      <c r="BO65">
        <v>9.2655155155155207</v>
      </c>
      <c r="BP65">
        <v>9.3221737592832206</v>
      </c>
      <c r="BQ65">
        <v>4.0461145531343403</v>
      </c>
    </row>
    <row r="66" spans="1:69" x14ac:dyDescent="0.25">
      <c r="A66" t="s">
        <v>3143</v>
      </c>
      <c r="B66" t="s">
        <v>3144</v>
      </c>
      <c r="C66" t="s">
        <v>3023</v>
      </c>
      <c r="D66" t="s">
        <v>3024</v>
      </c>
    </row>
    <row r="67" spans="1:69" x14ac:dyDescent="0.25">
      <c r="A67" t="s">
        <v>3145</v>
      </c>
      <c r="B67" t="s">
        <v>3146</v>
      </c>
      <c r="C67" t="s">
        <v>3023</v>
      </c>
      <c r="D67" t="s">
        <v>3024</v>
      </c>
    </row>
    <row r="68" spans="1:69" x14ac:dyDescent="0.25">
      <c r="A68" t="s">
        <v>3147</v>
      </c>
      <c r="B68" t="s">
        <v>3148</v>
      </c>
      <c r="C68" t="s">
        <v>3023</v>
      </c>
      <c r="D68" t="s">
        <v>3024</v>
      </c>
    </row>
    <row r="69" spans="1:69" x14ac:dyDescent="0.25">
      <c r="A69" t="s">
        <v>3149</v>
      </c>
      <c r="B69" t="s">
        <v>3150</v>
      </c>
      <c r="C69" t="s">
        <v>3023</v>
      </c>
      <c r="D69" t="s">
        <v>3024</v>
      </c>
    </row>
    <row r="70" spans="1:69" x14ac:dyDescent="0.25">
      <c r="A70" t="s">
        <v>3151</v>
      </c>
      <c r="B70" t="s">
        <v>3152</v>
      </c>
      <c r="C70" t="s">
        <v>3023</v>
      </c>
      <c r="D70" t="s">
        <v>3024</v>
      </c>
    </row>
    <row r="71" spans="1:69" x14ac:dyDescent="0.25">
      <c r="A71" t="s">
        <v>3153</v>
      </c>
      <c r="B71" t="s">
        <v>3154</v>
      </c>
      <c r="C71" t="s">
        <v>3023</v>
      </c>
      <c r="D71" t="s">
        <v>3024</v>
      </c>
      <c r="E71">
        <v>1.6765991261128399</v>
      </c>
      <c r="F71">
        <v>3.9856205063491301</v>
      </c>
      <c r="G71">
        <v>2.8708853146098599</v>
      </c>
      <c r="H71">
        <v>5.9395090592240196</v>
      </c>
      <c r="I71">
        <v>4.0342045376431104</v>
      </c>
      <c r="J71">
        <v>3.0690706617573502</v>
      </c>
      <c r="K71">
        <v>5.4537269277334497</v>
      </c>
      <c r="L71">
        <v>3.8181381573100102</v>
      </c>
      <c r="M71">
        <v>4.3176561297103602</v>
      </c>
      <c r="N71">
        <v>6.3266814485130904</v>
      </c>
      <c r="O71">
        <v>5.1712761201570796</v>
      </c>
      <c r="P71">
        <v>9.5216707800484706</v>
      </c>
      <c r="Q71">
        <v>7.5251179003472597</v>
      </c>
      <c r="R71">
        <v>12.1281464590342</v>
      </c>
      <c r="S71">
        <v>22.7040816226157</v>
      </c>
      <c r="T71">
        <v>14.2896742946894</v>
      </c>
      <c r="U71">
        <v>10.1746301165654</v>
      </c>
      <c r="V71">
        <v>12.944413872369999</v>
      </c>
      <c r="W71">
        <v>13.098138583853901</v>
      </c>
      <c r="X71">
        <v>10.117190869001501</v>
      </c>
      <c r="Y71">
        <v>11.9092893836134</v>
      </c>
      <c r="Z71">
        <v>14.0479686718867</v>
      </c>
      <c r="AA71">
        <v>16.284488046128399</v>
      </c>
      <c r="AB71">
        <v>48.418222080449198</v>
      </c>
      <c r="AC71">
        <v>31.219581512037202</v>
      </c>
      <c r="AD71">
        <v>27.993610742922399</v>
      </c>
      <c r="AE71">
        <v>23.030226114261701</v>
      </c>
      <c r="AF71">
        <v>29.5039972488395</v>
      </c>
      <c r="AG71">
        <v>58.2162865413937</v>
      </c>
      <c r="AH71">
        <v>75.648190102638495</v>
      </c>
      <c r="AI71">
        <v>48.519112996372897</v>
      </c>
      <c r="AJ71">
        <v>48.718080675218999</v>
      </c>
      <c r="AK71">
        <v>54.607821509359603</v>
      </c>
      <c r="AL71">
        <v>44.955053759216298</v>
      </c>
      <c r="AM71">
        <v>27.3108817940495</v>
      </c>
      <c r="AN71">
        <v>22.9341344145802</v>
      </c>
      <c r="AO71">
        <v>24.411459215067399</v>
      </c>
      <c r="AP71">
        <v>30.6575675722172</v>
      </c>
      <c r="AQ71">
        <v>36.098433162388503</v>
      </c>
      <c r="AR71">
        <v>52.242005185822499</v>
      </c>
      <c r="AS71">
        <v>96.096375692609598</v>
      </c>
      <c r="AT71">
        <v>37.676745451809403</v>
      </c>
      <c r="AU71">
        <v>12.4835980082094</v>
      </c>
      <c r="AV71">
        <v>7.9293648746155503</v>
      </c>
      <c r="AW71">
        <v>2.74323198926704</v>
      </c>
      <c r="AX71">
        <v>2.1682770118371999</v>
      </c>
      <c r="AY71">
        <v>3.2987484625821502</v>
      </c>
      <c r="AZ71">
        <v>2.2761847800212101</v>
      </c>
      <c r="BA71">
        <v>8.4000959398746193</v>
      </c>
      <c r="BB71">
        <v>5.1599682918104701</v>
      </c>
      <c r="BC71">
        <v>3.5543773456784198</v>
      </c>
      <c r="BD71">
        <v>4.4745326579583997</v>
      </c>
      <c r="BE71">
        <v>5.1017218095866497</v>
      </c>
      <c r="BF71">
        <v>2.7217757771037099</v>
      </c>
      <c r="BG71">
        <v>3.5892201661666299</v>
      </c>
      <c r="BH71">
        <v>3.9666462325535701</v>
      </c>
      <c r="BI71">
        <v>1.72826463324532</v>
      </c>
      <c r="BJ71">
        <v>0.41733558866682402</v>
      </c>
      <c r="BK71">
        <v>-0.22410324600555201</v>
      </c>
      <c r="BL71">
        <v>0.26601251546615501</v>
      </c>
      <c r="BM71">
        <v>-0.33887239256213902</v>
      </c>
      <c r="BN71">
        <v>0.13325138609638901</v>
      </c>
      <c r="BO71">
        <v>3.4661697221307599</v>
      </c>
      <c r="BP71">
        <v>2.2156876423705798</v>
      </c>
      <c r="BQ71">
        <v>1.54732515615369</v>
      </c>
    </row>
    <row r="72" spans="1:69" x14ac:dyDescent="0.25">
      <c r="A72" t="s">
        <v>3155</v>
      </c>
      <c r="B72" t="s">
        <v>3156</v>
      </c>
      <c r="C72" t="s">
        <v>3023</v>
      </c>
      <c r="D72" t="s">
        <v>3024</v>
      </c>
      <c r="E72">
        <v>0.33282904709175098</v>
      </c>
      <c r="F72">
        <v>0.69360675493532897</v>
      </c>
      <c r="G72">
        <v>-3.0030765879078301</v>
      </c>
      <c r="H72">
        <v>0.74664570813542896</v>
      </c>
      <c r="I72">
        <v>3.6609829488546701</v>
      </c>
      <c r="J72">
        <v>14.839004461624</v>
      </c>
      <c r="K72">
        <v>9.0364406581762893</v>
      </c>
      <c r="L72">
        <v>0.701897484353739</v>
      </c>
      <c r="M72">
        <v>-1.6757594245691001</v>
      </c>
      <c r="N72">
        <v>3.40982028243742</v>
      </c>
      <c r="O72">
        <v>3.76289859580536</v>
      </c>
      <c r="P72">
        <v>3.1404217139419801</v>
      </c>
      <c r="Q72">
        <v>2.1023633461011202</v>
      </c>
      <c r="R72">
        <v>5.1121840390875599</v>
      </c>
      <c r="S72">
        <v>10.024317751648301</v>
      </c>
      <c r="T72">
        <v>9.6696954815124396</v>
      </c>
      <c r="U72">
        <v>10.3174158877413</v>
      </c>
      <c r="V72">
        <v>12.732162792989101</v>
      </c>
      <c r="W72">
        <v>11.078100382613901</v>
      </c>
      <c r="X72">
        <v>9.9043605123112908</v>
      </c>
      <c r="Y72">
        <v>20.8192249324218</v>
      </c>
      <c r="Z72">
        <v>10.317284224539501</v>
      </c>
      <c r="AA72">
        <v>14.823008849557599</v>
      </c>
      <c r="AB72">
        <v>16.0798738833419</v>
      </c>
      <c r="AC72">
        <v>17.0363663799607</v>
      </c>
      <c r="AD72">
        <v>12.106756059824599</v>
      </c>
      <c r="AE72">
        <v>23.864289821736602</v>
      </c>
      <c r="AF72">
        <v>19.693593314763</v>
      </c>
      <c r="AG72">
        <v>17.663486153129998</v>
      </c>
      <c r="AH72">
        <v>21.261867088607701</v>
      </c>
      <c r="AI72">
        <v>16.756374707769101</v>
      </c>
      <c r="AJ72">
        <v>19.7485448195578</v>
      </c>
      <c r="AK72">
        <v>13.637424171721801</v>
      </c>
      <c r="AL72">
        <v>12.089792286897699</v>
      </c>
      <c r="AM72">
        <v>8.15423128587096</v>
      </c>
      <c r="AN72">
        <v>15.742230502159501</v>
      </c>
      <c r="AO72">
        <v>7.1871036971999196</v>
      </c>
      <c r="AP72">
        <v>4.6256057882643802</v>
      </c>
      <c r="AQ72">
        <v>3.87257546427489</v>
      </c>
      <c r="AR72">
        <v>3.07949912638332</v>
      </c>
      <c r="AS72">
        <v>2.68380535348546</v>
      </c>
      <c r="AT72">
        <v>2.26975720475955</v>
      </c>
      <c r="AU72">
        <v>2.7372385500033398</v>
      </c>
      <c r="AV72">
        <v>4.5077763631930301</v>
      </c>
      <c r="AW72">
        <v>11.270619332051901</v>
      </c>
      <c r="AX72">
        <v>4.8693969687198804</v>
      </c>
      <c r="AY72">
        <v>7.64452644526434</v>
      </c>
      <c r="AZ72">
        <v>9.3189690579922893</v>
      </c>
      <c r="BA72">
        <v>18.316831683168399</v>
      </c>
      <c r="BB72">
        <v>11.7634954386443</v>
      </c>
      <c r="BC72">
        <v>11.2651882653185</v>
      </c>
      <c r="BD72">
        <v>10.0649259874818</v>
      </c>
      <c r="BE72">
        <v>7.1117294334308196</v>
      </c>
      <c r="BF72">
        <v>9.4697198106492007</v>
      </c>
      <c r="BG72">
        <v>10.070215468748099</v>
      </c>
      <c r="BH72">
        <v>10.370490343517</v>
      </c>
      <c r="BI72">
        <v>13.8136062148289</v>
      </c>
      <c r="BJ72">
        <v>29.506608394003798</v>
      </c>
      <c r="BK72">
        <v>14.4014657807421</v>
      </c>
      <c r="BL72">
        <v>9.1527995932480302</v>
      </c>
      <c r="BM72">
        <v>5.0449328897753798</v>
      </c>
      <c r="BN72">
        <v>5.21404940513042</v>
      </c>
      <c r="BO72">
        <v>13.8956609775177</v>
      </c>
      <c r="BP72">
        <v>33.884776311554603</v>
      </c>
      <c r="BQ72">
        <v>28.2705899322082</v>
      </c>
    </row>
    <row r="73" spans="1:69" x14ac:dyDescent="0.25">
      <c r="A73" t="s">
        <v>3157</v>
      </c>
      <c r="B73" t="s">
        <v>3158</v>
      </c>
      <c r="C73" t="s">
        <v>3023</v>
      </c>
      <c r="D73" t="s">
        <v>3024</v>
      </c>
    </row>
    <row r="74" spans="1:69" x14ac:dyDescent="0.25">
      <c r="A74" t="s">
        <v>3159</v>
      </c>
      <c r="B74" t="s">
        <v>3160</v>
      </c>
      <c r="C74" t="s">
        <v>3023</v>
      </c>
      <c r="D74" t="s">
        <v>3024</v>
      </c>
    </row>
    <row r="75" spans="1:69" x14ac:dyDescent="0.25">
      <c r="A75" t="s">
        <v>3161</v>
      </c>
      <c r="B75" t="s">
        <v>3162</v>
      </c>
      <c r="C75" t="s">
        <v>3023</v>
      </c>
      <c r="D75" t="s">
        <v>3024</v>
      </c>
      <c r="E75">
        <v>1.17777108409631</v>
      </c>
      <c r="F75">
        <v>0.80925287388216605</v>
      </c>
      <c r="G75">
        <v>5.7064771927130797</v>
      </c>
      <c r="H75">
        <v>8.7436976840915293</v>
      </c>
      <c r="I75">
        <v>6.97924673989605</v>
      </c>
      <c r="J75">
        <v>13.2141378382198</v>
      </c>
      <c r="K75">
        <v>6.2403670829798701</v>
      </c>
      <c r="L75">
        <v>6.3916310878211497</v>
      </c>
      <c r="M75">
        <v>4.9543661173646303</v>
      </c>
      <c r="N75">
        <v>2.1603471359986601</v>
      </c>
      <c r="O75">
        <v>5.7311448429353096</v>
      </c>
      <c r="P75">
        <v>8.2368871489360203</v>
      </c>
      <c r="Q75">
        <v>8.2722875494194206</v>
      </c>
      <c r="R75">
        <v>11.4167076137084</v>
      </c>
      <c r="S75">
        <v>15.680373398538901</v>
      </c>
      <c r="T75">
        <v>16.953285933498201</v>
      </c>
      <c r="U75">
        <v>17.6248800527481</v>
      </c>
      <c r="V75">
        <v>24.538063292920501</v>
      </c>
      <c r="W75">
        <v>19.773670497366101</v>
      </c>
      <c r="X75">
        <v>15.660235597177101</v>
      </c>
      <c r="Y75">
        <v>15.5619020957245</v>
      </c>
      <c r="Z75">
        <v>14.5493457170321</v>
      </c>
      <c r="AA75">
        <v>14.4150020548327</v>
      </c>
      <c r="AB75">
        <v>12.174072735169901</v>
      </c>
      <c r="AC75">
        <v>11.280276560403699</v>
      </c>
      <c r="AD75">
        <v>8.8144550667838697</v>
      </c>
      <c r="AE75">
        <v>8.7949393229032005</v>
      </c>
      <c r="AF75">
        <v>5.2480186348959297</v>
      </c>
      <c r="AG75">
        <v>4.8372706649036097</v>
      </c>
      <c r="AH75">
        <v>6.7914358402509896</v>
      </c>
      <c r="AI75">
        <v>6.7218195222865598</v>
      </c>
      <c r="AJ75">
        <v>5.9342134433592397</v>
      </c>
      <c r="AK75">
        <v>5.9245312622848898</v>
      </c>
      <c r="AL75">
        <v>4.5690717368181302</v>
      </c>
      <c r="AM75">
        <v>4.7184137396732897</v>
      </c>
      <c r="AN75">
        <v>4.6738033762470401</v>
      </c>
      <c r="AO75">
        <v>3.5588455933855698</v>
      </c>
      <c r="AP75">
        <v>1.97107395582926</v>
      </c>
      <c r="AQ75">
        <v>1.83432999908409</v>
      </c>
      <c r="AR75">
        <v>2.31034813987067</v>
      </c>
      <c r="AS75">
        <v>3.43351563418766</v>
      </c>
      <c r="AT75">
        <v>3.5898341333811201</v>
      </c>
      <c r="AU75">
        <v>3.06565685902219</v>
      </c>
      <c r="AV75">
        <v>3.0388883939665501</v>
      </c>
      <c r="AW75">
        <v>3.0392488109092399</v>
      </c>
      <c r="AX75">
        <v>3.3688140975038299</v>
      </c>
      <c r="AY75">
        <v>3.51557576832128</v>
      </c>
      <c r="AZ75">
        <v>2.7867974580494499</v>
      </c>
      <c r="BA75">
        <v>4.0753433595733899</v>
      </c>
      <c r="BB75">
        <v>-0.28781308353523999</v>
      </c>
      <c r="BC75">
        <v>1.79986457728768</v>
      </c>
      <c r="BD75">
        <v>3.1961018883379002</v>
      </c>
      <c r="BE75">
        <v>2.4461278236680801</v>
      </c>
      <c r="BF75">
        <v>1.40858109183018</v>
      </c>
      <c r="BG75">
        <v>-0.15111483752723401</v>
      </c>
      <c r="BH75">
        <v>-0.50036570990324203</v>
      </c>
      <c r="BI75">
        <v>-0.20259800042645201</v>
      </c>
      <c r="BJ75">
        <v>1.9560763336396301</v>
      </c>
      <c r="BK75">
        <v>1.6749813686379</v>
      </c>
      <c r="BL75">
        <v>0.699518994458738</v>
      </c>
      <c r="BM75">
        <v>-0.32275301729973899</v>
      </c>
      <c r="BN75">
        <v>3.0931351197641899</v>
      </c>
      <c r="BO75">
        <v>8.3905763411862608</v>
      </c>
      <c r="BP75">
        <v>3.5323613349243201</v>
      </c>
      <c r="BQ75">
        <v>2.7741782653477198</v>
      </c>
    </row>
    <row r="76" spans="1:69" x14ac:dyDescent="0.25">
      <c r="A76" t="s">
        <v>3163</v>
      </c>
      <c r="B76" t="s">
        <v>3164</v>
      </c>
      <c r="C76" t="s">
        <v>3023</v>
      </c>
      <c r="D76" t="s">
        <v>3024</v>
      </c>
      <c r="AL76">
        <v>89.811949027727394</v>
      </c>
      <c r="AM76">
        <v>47.6546906187628</v>
      </c>
      <c r="AN76">
        <v>28.776613720851302</v>
      </c>
      <c r="AO76">
        <v>23.050343349516901</v>
      </c>
      <c r="AP76">
        <v>10.5818789322146</v>
      </c>
      <c r="AQ76">
        <v>8.2083333333329698</v>
      </c>
      <c r="AR76">
        <v>3.2961108971890898</v>
      </c>
      <c r="AS76">
        <v>4.01848952508763</v>
      </c>
      <c r="AT76">
        <v>5.7482798165137297</v>
      </c>
      <c r="AU76">
        <v>3.5719127016402599</v>
      </c>
      <c r="AV76">
        <v>1.3349911654995501</v>
      </c>
      <c r="AW76">
        <v>3.0481110752341598</v>
      </c>
      <c r="AX76">
        <v>4.07971423199848</v>
      </c>
      <c r="AY76">
        <v>4.4376204238921302</v>
      </c>
      <c r="AZ76">
        <v>6.6013260305563701</v>
      </c>
      <c r="BA76">
        <v>10.362358031368201</v>
      </c>
      <c r="BB76">
        <v>-7.8408311280976806E-2</v>
      </c>
      <c r="BC76">
        <v>2.9720451201569298</v>
      </c>
      <c r="BD76">
        <v>4.9819013145361</v>
      </c>
      <c r="BE76">
        <v>3.9333998729698498</v>
      </c>
      <c r="BF76">
        <v>2.7805665895498701</v>
      </c>
      <c r="BG76">
        <v>-0.10617514652170899</v>
      </c>
      <c r="BH76">
        <v>-0.49232600654737002</v>
      </c>
      <c r="BI76">
        <v>0.14868490762737199</v>
      </c>
      <c r="BJ76">
        <v>3.4172354948805399</v>
      </c>
      <c r="BK76">
        <v>3.4363268842044601</v>
      </c>
      <c r="BL76">
        <v>2.2772593124352198</v>
      </c>
      <c r="BM76">
        <v>-0.44453109767982901</v>
      </c>
      <c r="BN76">
        <v>4.6531667384747202</v>
      </c>
      <c r="BO76">
        <v>19.398263408061599</v>
      </c>
      <c r="BP76">
        <v>9.1592250798398194</v>
      </c>
      <c r="BQ76">
        <v>3.5194118998391999</v>
      </c>
    </row>
    <row r="77" spans="1:69" x14ac:dyDescent="0.25">
      <c r="A77" t="s">
        <v>3165</v>
      </c>
      <c r="B77" t="s">
        <v>3166</v>
      </c>
      <c r="C77" t="s">
        <v>3023</v>
      </c>
      <c r="D77" t="s">
        <v>3024</v>
      </c>
      <c r="K77">
        <v>-1.3618677046690699</v>
      </c>
      <c r="L77">
        <v>0.80867850105467798</v>
      </c>
      <c r="M77">
        <v>0.182612665558995</v>
      </c>
      <c r="N77">
        <v>1.4256884314862599</v>
      </c>
      <c r="O77">
        <v>10.1219512195636</v>
      </c>
      <c r="P77">
        <v>0.53622428169519298</v>
      </c>
      <c r="Q77">
        <v>-6.0815119717912802</v>
      </c>
      <c r="R77">
        <v>8.9135802469581193</v>
      </c>
      <c r="S77">
        <v>8.59215597391084</v>
      </c>
      <c r="T77">
        <v>6.5501043839419797</v>
      </c>
      <c r="U77">
        <v>28.5378398237848</v>
      </c>
      <c r="V77">
        <v>16.6571395908502</v>
      </c>
      <c r="W77">
        <v>14.3081144649154</v>
      </c>
      <c r="X77">
        <v>16.032235939651901</v>
      </c>
      <c r="Y77">
        <v>4.4825378060043501</v>
      </c>
      <c r="Z77">
        <v>6.1359671868043399</v>
      </c>
      <c r="AA77">
        <v>5.8900610772396096</v>
      </c>
      <c r="AB77">
        <v>-0.67537806485471696</v>
      </c>
      <c r="AC77">
        <v>8.4172737831205193</v>
      </c>
      <c r="AD77">
        <v>19.064685144440599</v>
      </c>
      <c r="AE77">
        <v>-9.8087650705066096</v>
      </c>
      <c r="AF77">
        <v>-2.4286724828336799</v>
      </c>
      <c r="AG77">
        <v>7.0807153214108904</v>
      </c>
      <c r="AH77">
        <v>7.8173011822304801</v>
      </c>
      <c r="AI77">
        <v>5.1524812417476697</v>
      </c>
      <c r="AJ77">
        <v>35.722598229871501</v>
      </c>
      <c r="AK77">
        <v>10.527444011959201</v>
      </c>
      <c r="AL77">
        <v>3.5430659616603202</v>
      </c>
      <c r="AM77">
        <v>7.59387600185336</v>
      </c>
      <c r="AN77">
        <v>10.022173355323799</v>
      </c>
      <c r="AO77">
        <v>-8.4842486894882505</v>
      </c>
      <c r="AP77">
        <v>2.3952095808382898</v>
      </c>
      <c r="AQ77">
        <v>0.89480169396410603</v>
      </c>
      <c r="AR77">
        <v>7.9414486413732499</v>
      </c>
      <c r="AS77">
        <v>0.66245810926648097</v>
      </c>
      <c r="AT77">
        <v>-8.2378445339113604</v>
      </c>
      <c r="AU77">
        <v>0.67508910217079998</v>
      </c>
      <c r="AV77">
        <v>13.6740452028271</v>
      </c>
      <c r="AW77">
        <v>3.3273704789484699</v>
      </c>
      <c r="AX77">
        <v>9.9699712351289094</v>
      </c>
      <c r="AY77">
        <v>12.299476311482399</v>
      </c>
      <c r="AZ77">
        <v>17.240400834089701</v>
      </c>
      <c r="BA77">
        <v>44.356685876695103</v>
      </c>
      <c r="BB77">
        <v>8.4836440453028192</v>
      </c>
      <c r="BC77">
        <v>8.1492640296508192</v>
      </c>
      <c r="BD77">
        <v>33.249959882334402</v>
      </c>
      <c r="BE77">
        <v>23.600417677317001</v>
      </c>
      <c r="BF77">
        <v>7.4640219294451704</v>
      </c>
      <c r="BG77">
        <v>6.8900195159719102</v>
      </c>
      <c r="BH77">
        <v>9.5688995596862298</v>
      </c>
      <c r="BI77">
        <v>6.6281333723092404</v>
      </c>
      <c r="BJ77">
        <v>10.687115028423801</v>
      </c>
      <c r="BK77">
        <v>13.8330356586661</v>
      </c>
      <c r="BL77">
        <v>15.8096321719344</v>
      </c>
      <c r="BM77">
        <v>20.3563468559061</v>
      </c>
      <c r="BN77">
        <v>26.839522155772201</v>
      </c>
      <c r="BO77">
        <v>33.889879710089801</v>
      </c>
      <c r="BP77">
        <v>30.218827813527799</v>
      </c>
      <c r="BQ77">
        <v>21.037746057770999</v>
      </c>
    </row>
    <row r="78" spans="1:69" x14ac:dyDescent="0.25">
      <c r="A78" t="s">
        <v>3167</v>
      </c>
      <c r="B78" t="s">
        <v>3168</v>
      </c>
      <c r="C78" t="s">
        <v>3023</v>
      </c>
      <c r="D78" t="s">
        <v>3024</v>
      </c>
    </row>
    <row r="79" spans="1:69" x14ac:dyDescent="0.25">
      <c r="A79" t="s">
        <v>3169</v>
      </c>
      <c r="B79" t="s">
        <v>3170</v>
      </c>
      <c r="C79" t="s">
        <v>3023</v>
      </c>
      <c r="D79" t="s">
        <v>3024</v>
      </c>
    </row>
    <row r="80" spans="1:69" x14ac:dyDescent="0.25">
      <c r="A80" t="s">
        <v>3171</v>
      </c>
      <c r="B80" t="s">
        <v>3172</v>
      </c>
      <c r="C80" t="s">
        <v>3023</v>
      </c>
      <c r="D80" t="s">
        <v>3024</v>
      </c>
      <c r="E80">
        <v>3.4181272535079201</v>
      </c>
      <c r="F80">
        <v>1.6910019153395299</v>
      </c>
      <c r="G80">
        <v>4.3839827817266803</v>
      </c>
      <c r="H80">
        <v>4.9963818864528502</v>
      </c>
      <c r="I80">
        <v>10.2758607417486</v>
      </c>
      <c r="J80">
        <v>4.9405880675530804</v>
      </c>
      <c r="K80">
        <v>3.87365401861324</v>
      </c>
      <c r="L80">
        <v>5.3777818337285703</v>
      </c>
      <c r="M80">
        <v>9.1916679951951199</v>
      </c>
      <c r="N80">
        <v>2.2056109352124502</v>
      </c>
      <c r="O80">
        <v>2.7404204305122</v>
      </c>
      <c r="P80">
        <v>6.4757654306185604</v>
      </c>
      <c r="Q80">
        <v>6.6624978351532702</v>
      </c>
      <c r="R80">
        <v>10.7544718831368</v>
      </c>
      <c r="S80">
        <v>16.936399998927399</v>
      </c>
      <c r="T80">
        <v>17.8113972340212</v>
      </c>
      <c r="U80">
        <v>14.342693085225701</v>
      </c>
      <c r="V80">
        <v>11.7933469184053</v>
      </c>
      <c r="W80">
        <v>7.7993507455214504</v>
      </c>
      <c r="X80">
        <v>7.4669615131073801</v>
      </c>
      <c r="Y80">
        <v>11.5946192492107</v>
      </c>
      <c r="Z80">
        <v>11.3057566509548</v>
      </c>
      <c r="AA80">
        <v>9.5849276467744495</v>
      </c>
      <c r="AB80">
        <v>8.3662926064563994</v>
      </c>
      <c r="AC80">
        <v>7.0676563832817196</v>
      </c>
      <c r="AD80">
        <v>5.1956219542943503</v>
      </c>
      <c r="AE80">
        <v>2.93357920442326</v>
      </c>
      <c r="AF80">
        <v>4.1130288620505704</v>
      </c>
      <c r="AG80">
        <v>5.0859286139488002</v>
      </c>
      <c r="AH80">
        <v>6.5929098018912997</v>
      </c>
      <c r="AI80">
        <v>6.1495653117984901</v>
      </c>
      <c r="AJ80">
        <v>4.3102128984346502</v>
      </c>
      <c r="AK80">
        <v>2.91932319285011</v>
      </c>
      <c r="AL80">
        <v>2.19065319556436</v>
      </c>
      <c r="AM80">
        <v>1.08855677589404</v>
      </c>
      <c r="AN80">
        <v>0.79123940693849704</v>
      </c>
      <c r="AO80">
        <v>0.62919423812096498</v>
      </c>
      <c r="AP80">
        <v>1.1925588342583899</v>
      </c>
      <c r="AQ80">
        <v>1.3994737857984001</v>
      </c>
      <c r="AR80">
        <v>1.1622315566944399</v>
      </c>
      <c r="AS80">
        <v>3.0421008066779498</v>
      </c>
      <c r="AT80">
        <v>2.5784408009889499</v>
      </c>
      <c r="AU80">
        <v>1.5712201278937901</v>
      </c>
      <c r="AV80">
        <v>0.87744038625478504</v>
      </c>
      <c r="AW80">
        <v>0.18712055908441799</v>
      </c>
      <c r="AX80">
        <v>0.62387445002519004</v>
      </c>
      <c r="AY80">
        <v>1.5666638070438601</v>
      </c>
      <c r="AZ80">
        <v>2.5106656524034001</v>
      </c>
      <c r="BA80">
        <v>4.0659535535837898</v>
      </c>
      <c r="BB80">
        <v>-9.1736038443034204E-7</v>
      </c>
      <c r="BC80">
        <v>1.1841352315464599</v>
      </c>
      <c r="BD80">
        <v>3.4168075425521098</v>
      </c>
      <c r="BE80">
        <v>2.8083362256157298</v>
      </c>
      <c r="BF80">
        <v>1.4782861568880901</v>
      </c>
      <c r="BG80">
        <v>1.04119621178439</v>
      </c>
      <c r="BH80">
        <v>-0.207928839905268</v>
      </c>
      <c r="BI80">
        <v>0.35668450089169501</v>
      </c>
      <c r="BJ80">
        <v>0.75401504708434597</v>
      </c>
      <c r="BK80">
        <v>1.0838209840930499</v>
      </c>
      <c r="BL80">
        <v>1.0240939296342999</v>
      </c>
      <c r="BM80">
        <v>0.29055455565323901</v>
      </c>
      <c r="BN80">
        <v>2.1945743234000701</v>
      </c>
      <c r="BO80">
        <v>7.1235077330140202</v>
      </c>
      <c r="BP80">
        <v>6.2506432215476204</v>
      </c>
      <c r="BQ80">
        <v>1.5656890623161499</v>
      </c>
    </row>
    <row r="81" spans="1:69" x14ac:dyDescent="0.25">
      <c r="A81" t="s">
        <v>3173</v>
      </c>
      <c r="B81" t="s">
        <v>3174</v>
      </c>
      <c r="C81" t="s">
        <v>3023</v>
      </c>
      <c r="D81" t="s">
        <v>3024</v>
      </c>
      <c r="O81">
        <v>4.1241785633356702</v>
      </c>
      <c r="P81">
        <v>9.1381936887920006</v>
      </c>
      <c r="Q81">
        <v>21.978504057906999</v>
      </c>
      <c r="R81">
        <v>11.0853182063401</v>
      </c>
      <c r="S81">
        <v>14.4984695078881</v>
      </c>
      <c r="T81">
        <v>13.0648809829824</v>
      </c>
      <c r="U81">
        <v>11.4324364264689</v>
      </c>
      <c r="V81">
        <v>7.00630444983923</v>
      </c>
      <c r="W81">
        <v>6.1080710050150504</v>
      </c>
      <c r="X81">
        <v>7.8067582495211303</v>
      </c>
      <c r="Y81">
        <v>14.4928744064522</v>
      </c>
      <c r="Z81">
        <v>11.180666763762</v>
      </c>
      <c r="AA81">
        <v>7.0315568938948703</v>
      </c>
      <c r="AB81">
        <v>6.70418399801419</v>
      </c>
      <c r="AC81">
        <v>5.2912176107243196</v>
      </c>
      <c r="AD81">
        <v>4.4209723962190797</v>
      </c>
      <c r="AE81">
        <v>1.79884248433801</v>
      </c>
      <c r="AF81">
        <v>5.6637747585522096</v>
      </c>
      <c r="AG81">
        <v>11.7583268783888</v>
      </c>
      <c r="AH81">
        <v>6.1893540338235402</v>
      </c>
      <c r="AI81">
        <v>8.1913713204096901</v>
      </c>
      <c r="AJ81">
        <v>6.4973455598454697</v>
      </c>
      <c r="AK81">
        <v>4.8830227156861499</v>
      </c>
      <c r="AL81">
        <v>5.2065892519576398</v>
      </c>
      <c r="AM81">
        <v>0.81666666666701104</v>
      </c>
      <c r="AN81">
        <v>2.16564721441536</v>
      </c>
      <c r="AO81">
        <v>3.0501618122979699</v>
      </c>
      <c r="AP81">
        <v>3.3681400643794301</v>
      </c>
      <c r="AQ81">
        <v>5.7116816041311802</v>
      </c>
      <c r="AR81">
        <v>1.9686736600091901</v>
      </c>
      <c r="AS81">
        <v>1.09216459977387</v>
      </c>
      <c r="AT81">
        <v>4.2726702446510503</v>
      </c>
      <c r="AU81">
        <v>0.76203208556120605</v>
      </c>
      <c r="AV81">
        <v>4.1727477776303399</v>
      </c>
      <c r="AW81">
        <v>2.827485193912</v>
      </c>
      <c r="AX81">
        <v>2.36576453830433</v>
      </c>
      <c r="AY81">
        <v>2.4908363878707802</v>
      </c>
      <c r="AZ81">
        <v>4.8037064130698797</v>
      </c>
      <c r="BA81">
        <v>7.7322785791842099</v>
      </c>
      <c r="BB81">
        <v>3.1310355901596698</v>
      </c>
      <c r="BC81">
        <v>3.6890122967075998</v>
      </c>
      <c r="BD81">
        <v>7.2781178270850004</v>
      </c>
      <c r="BE81">
        <v>3.4233752340197898</v>
      </c>
      <c r="BF81">
        <v>2.9135419360399202</v>
      </c>
      <c r="BG81">
        <v>0.51930647457910595</v>
      </c>
      <c r="BH81">
        <v>1.3748854262144601</v>
      </c>
      <c r="BI81">
        <v>3.8632253822127698</v>
      </c>
      <c r="BJ81">
        <v>3.3475783475783101</v>
      </c>
      <c r="BK81">
        <v>4.0814763764454201</v>
      </c>
      <c r="BL81">
        <v>1.7938864751455501</v>
      </c>
      <c r="BM81">
        <v>-1.70014167847317</v>
      </c>
      <c r="BN81">
        <v>1.53454853751591</v>
      </c>
      <c r="BO81">
        <v>6.0788243152972399</v>
      </c>
      <c r="BP81">
        <v>2.9754408060453801</v>
      </c>
      <c r="BQ81">
        <v>3.8908423788410502</v>
      </c>
    </row>
    <row r="82" spans="1:69" x14ac:dyDescent="0.25">
      <c r="A82" t="s">
        <v>3175</v>
      </c>
      <c r="B82" t="s">
        <v>3176</v>
      </c>
      <c r="C82" t="s">
        <v>3023</v>
      </c>
      <c r="D82" t="s">
        <v>3024</v>
      </c>
      <c r="E82">
        <v>4.1399357551843599</v>
      </c>
      <c r="F82">
        <v>2.4004610454630999</v>
      </c>
      <c r="G82">
        <v>5.3312800706563896</v>
      </c>
      <c r="H82">
        <v>4.9991528979684903</v>
      </c>
      <c r="I82">
        <v>3.2111917029310502</v>
      </c>
      <c r="J82">
        <v>2.70310455873084</v>
      </c>
      <c r="K82">
        <v>2.6020007663645099</v>
      </c>
      <c r="L82">
        <v>2.7917770943514202</v>
      </c>
      <c r="M82">
        <v>4.5432048640201401</v>
      </c>
      <c r="N82">
        <v>6.0459628417389997</v>
      </c>
      <c r="O82">
        <v>5.2996412456266704</v>
      </c>
      <c r="P82">
        <v>5.3975186559511004</v>
      </c>
      <c r="Q82">
        <v>6.06300309718186</v>
      </c>
      <c r="R82">
        <v>7.3806010639891699</v>
      </c>
      <c r="S82">
        <v>13.649317472813699</v>
      </c>
      <c r="T82">
        <v>11.6859272493228</v>
      </c>
      <c r="U82">
        <v>9.6254957815553208</v>
      </c>
      <c r="V82">
        <v>9.4945546719042504</v>
      </c>
      <c r="W82">
        <v>9.2505584672443995</v>
      </c>
      <c r="X82">
        <v>10.6467341716662</v>
      </c>
      <c r="Y82">
        <v>13.5625788483016</v>
      </c>
      <c r="Z82">
        <v>13.314405568007199</v>
      </c>
      <c r="AA82">
        <v>11.978471952380399</v>
      </c>
      <c r="AB82">
        <v>9.4595484723531502</v>
      </c>
      <c r="AC82">
        <v>7.6738026224731799</v>
      </c>
      <c r="AD82">
        <v>5.83109973854513</v>
      </c>
      <c r="AE82">
        <v>2.53852591781413</v>
      </c>
      <c r="AF82">
        <v>3.2888982140013501</v>
      </c>
      <c r="AG82">
        <v>2.7008152750811401</v>
      </c>
      <c r="AH82">
        <v>3.4983022070075198</v>
      </c>
      <c r="AI82">
        <v>3.1942833802948098</v>
      </c>
      <c r="AJ82">
        <v>3.21340732409677</v>
      </c>
      <c r="AK82">
        <v>2.3637604626935498</v>
      </c>
      <c r="AL82">
        <v>2.1044627712464199</v>
      </c>
      <c r="AM82">
        <v>1.65551532926999</v>
      </c>
      <c r="AN82">
        <v>1.7964814209558899</v>
      </c>
      <c r="AO82">
        <v>1.9828836508973799</v>
      </c>
      <c r="AP82">
        <v>1.20394294026963</v>
      </c>
      <c r="AQ82">
        <v>0.65112686783307205</v>
      </c>
      <c r="AR82">
        <v>0.53714163913459601</v>
      </c>
      <c r="AS82">
        <v>1.67595988720928</v>
      </c>
      <c r="AT82">
        <v>1.6347807954959901</v>
      </c>
      <c r="AU82">
        <v>1.9234122872706301</v>
      </c>
      <c r="AV82">
        <v>2.09847219146919</v>
      </c>
      <c r="AW82">
        <v>2.14208964640238</v>
      </c>
      <c r="AX82">
        <v>1.7458693638048699</v>
      </c>
      <c r="AY82">
        <v>1.67512449608726</v>
      </c>
      <c r="AZ82">
        <v>1.48799805953859</v>
      </c>
      <c r="BA82">
        <v>2.8128619491478499</v>
      </c>
      <c r="BB82">
        <v>8.7620478157465306E-2</v>
      </c>
      <c r="BC82">
        <v>1.53112270420918</v>
      </c>
      <c r="BD82">
        <v>2.1115979517499999</v>
      </c>
      <c r="BE82">
        <v>1.95419531613509</v>
      </c>
      <c r="BF82">
        <v>0.86371549786180402</v>
      </c>
      <c r="BG82">
        <v>0.50775882293798902</v>
      </c>
      <c r="BH82">
        <v>3.7514380512518097E-2</v>
      </c>
      <c r="BI82">
        <v>0.18333486112376399</v>
      </c>
      <c r="BJ82">
        <v>1.03228275064681</v>
      </c>
      <c r="BK82">
        <v>1.8508150831549199</v>
      </c>
      <c r="BL82">
        <v>1.1082549228829299</v>
      </c>
      <c r="BM82">
        <v>0.47649885272506498</v>
      </c>
      <c r="BN82">
        <v>1.6423314103839299</v>
      </c>
      <c r="BO82">
        <v>5.2223674836972496</v>
      </c>
      <c r="BP82">
        <v>4.8783572650844</v>
      </c>
      <c r="BQ82">
        <v>1.9990494229146201</v>
      </c>
    </row>
    <row r="83" spans="1:69" x14ac:dyDescent="0.25">
      <c r="A83" t="s">
        <v>3177</v>
      </c>
      <c r="B83" t="s">
        <v>3178</v>
      </c>
      <c r="C83" t="s">
        <v>3023</v>
      </c>
      <c r="D83" t="s">
        <v>3024</v>
      </c>
    </row>
    <row r="84" spans="1:69" x14ac:dyDescent="0.25">
      <c r="A84" t="s">
        <v>3179</v>
      </c>
      <c r="B84" t="s">
        <v>3180</v>
      </c>
      <c r="C84" t="s">
        <v>3023</v>
      </c>
      <c r="D84" t="s">
        <v>3024</v>
      </c>
      <c r="AS84">
        <v>2.1585181061941912</v>
      </c>
      <c r="AT84">
        <v>0.50249735129402739</v>
      </c>
      <c r="AU84">
        <v>-0.11144242643294471</v>
      </c>
      <c r="AV84">
        <v>0.12664334820890311</v>
      </c>
      <c r="AW84">
        <v>2.2766969824730401</v>
      </c>
      <c r="AX84">
        <v>4.257699782109416</v>
      </c>
      <c r="AY84">
        <v>4.6373700858563458</v>
      </c>
      <c r="AZ84">
        <v>3.3063427800269909</v>
      </c>
      <c r="BA84">
        <v>8.4237256624618642</v>
      </c>
      <c r="BB84">
        <v>6.3936025773520058</v>
      </c>
      <c r="BC84">
        <v>3.313709631362165</v>
      </c>
      <c r="BD84">
        <v>5.0825940389037108</v>
      </c>
      <c r="BE84">
        <v>5.0185035304561634</v>
      </c>
      <c r="BF84">
        <v>1.752327373507615</v>
      </c>
      <c r="BG84">
        <v>0.65028489176794424</v>
      </c>
      <c r="BH84">
        <v>-0.29811583738070019</v>
      </c>
      <c r="BI84">
        <v>-1.0374680640534899</v>
      </c>
      <c r="BJ84">
        <v>0.58225373525488966</v>
      </c>
      <c r="BK84">
        <v>1.4984002359373669</v>
      </c>
      <c r="BL84">
        <v>1.923851707879231</v>
      </c>
      <c r="BM84">
        <v>0.55459463085317429</v>
      </c>
      <c r="BN84">
        <v>3.1912840659746631</v>
      </c>
      <c r="BO84">
        <v>5.4087437547906658</v>
      </c>
    </row>
    <row r="85" spans="1:69" x14ac:dyDescent="0.25">
      <c r="A85" t="s">
        <v>3181</v>
      </c>
      <c r="B85" t="s">
        <v>3182</v>
      </c>
      <c r="C85" t="s">
        <v>3023</v>
      </c>
      <c r="D85" t="s">
        <v>3024</v>
      </c>
      <c r="H85">
        <v>7.1583333324999563</v>
      </c>
      <c r="I85">
        <v>3.3284081190083041</v>
      </c>
      <c r="J85">
        <v>2.4384736959591939</v>
      </c>
      <c r="K85">
        <v>3.6441113809676948</v>
      </c>
      <c r="L85">
        <v>1.977741546826663</v>
      </c>
      <c r="M85">
        <v>2.335604059298392</v>
      </c>
      <c r="N85">
        <v>2.9751392473964988</v>
      </c>
      <c r="O85">
        <v>3.812664907667902</v>
      </c>
      <c r="P85">
        <v>3.8632608970157629</v>
      </c>
      <c r="Q85">
        <v>3.4870916434787</v>
      </c>
      <c r="R85">
        <v>6.2071411681433872</v>
      </c>
      <c r="S85">
        <v>12.07280418566191</v>
      </c>
      <c r="T85">
        <v>28.45294263723375</v>
      </c>
      <c r="U85">
        <v>20.171564463972071</v>
      </c>
      <c r="V85">
        <v>13.85256908628412</v>
      </c>
      <c r="W85">
        <v>10.764169097680741</v>
      </c>
      <c r="X85">
        <v>7.9526985375144381</v>
      </c>
      <c r="Y85">
        <v>12.34035925656025</v>
      </c>
      <c r="Z85">
        <v>8.7065021489300545</v>
      </c>
      <c r="AA85">
        <v>16.685796879749152</v>
      </c>
      <c r="AB85">
        <v>10.671936758893381</v>
      </c>
      <c r="AC85">
        <v>5.8571428571429509</v>
      </c>
      <c r="AD85">
        <v>7.3549257759783</v>
      </c>
      <c r="AE85">
        <v>6.2853551225645088</v>
      </c>
      <c r="AF85">
        <v>-0.94618568894144117</v>
      </c>
      <c r="AG85">
        <v>-8.7761194029851097</v>
      </c>
      <c r="AH85">
        <v>6.7408376963349834</v>
      </c>
      <c r="AI85">
        <v>7.72532188841208</v>
      </c>
      <c r="AJ85">
        <v>-11.68611269208882</v>
      </c>
      <c r="AK85">
        <v>-9.5429133033657543</v>
      </c>
      <c r="AL85">
        <v>0.53374655647419122</v>
      </c>
      <c r="AM85">
        <v>36.11624569629852</v>
      </c>
      <c r="AN85">
        <v>9.6465310407961589</v>
      </c>
      <c r="AO85">
        <v>0.68969337728163826</v>
      </c>
      <c r="AP85">
        <v>3.973450075452996</v>
      </c>
      <c r="AQ85">
        <v>1.448738542945982</v>
      </c>
      <c r="AR85">
        <v>-1.9366039760362601</v>
      </c>
      <c r="AS85">
        <v>0.50492002583485862</v>
      </c>
      <c r="AT85">
        <v>2.1376205270146489</v>
      </c>
      <c r="AU85">
        <v>3.6682889397139408E-2</v>
      </c>
      <c r="AV85">
        <v>2.2353531355153611</v>
      </c>
      <c r="AW85">
        <v>0.40820530743925021</v>
      </c>
      <c r="AX85">
        <v>3.7083333333330351</v>
      </c>
      <c r="AY85">
        <v>-1.409401366009797</v>
      </c>
      <c r="AZ85">
        <v>5.03031883679951</v>
      </c>
      <c r="BA85">
        <v>5.2643014557528529</v>
      </c>
      <c r="BB85">
        <v>1.8857075457791841</v>
      </c>
      <c r="BC85">
        <v>1.46154402720469</v>
      </c>
      <c r="BD85">
        <v>1.26331707837421</v>
      </c>
      <c r="BE85">
        <v>2.6524182869562609</v>
      </c>
      <c r="BF85">
        <v>0.50544105891561453</v>
      </c>
      <c r="BG85">
        <v>4.6904575182628374</v>
      </c>
      <c r="BH85">
        <v>-0.33879518875340592</v>
      </c>
      <c r="BI85">
        <v>2.1067071278405431</v>
      </c>
      <c r="BJ85">
        <v>2.6519258314390179</v>
      </c>
      <c r="BK85">
        <v>4.7490665208322147</v>
      </c>
      <c r="BL85">
        <v>2.464567561511867</v>
      </c>
      <c r="BM85">
        <v>1.3527611067533261</v>
      </c>
      <c r="BN85">
        <v>1.0869074651940951</v>
      </c>
      <c r="BO85">
        <v>4.2312479827457947</v>
      </c>
      <c r="BP85">
        <v>3.629015341853759</v>
      </c>
      <c r="BQ85">
        <v>1.17311998381218</v>
      </c>
    </row>
    <row r="86" spans="1:69" x14ac:dyDescent="0.25">
      <c r="A86" t="s">
        <v>3183</v>
      </c>
      <c r="B86" t="s">
        <v>3184</v>
      </c>
      <c r="C86" t="s">
        <v>3023</v>
      </c>
      <c r="D86" t="s">
        <v>3024</v>
      </c>
      <c r="E86">
        <v>1.003575703901721</v>
      </c>
      <c r="F86">
        <v>3.4474962304661951</v>
      </c>
      <c r="G86">
        <v>4.1964988823855123</v>
      </c>
      <c r="H86">
        <v>2.0185435597622901</v>
      </c>
      <c r="I86">
        <v>3.2815869469721251</v>
      </c>
      <c r="J86">
        <v>4.773774553869143</v>
      </c>
      <c r="K86">
        <v>3.9096177921188882</v>
      </c>
      <c r="L86">
        <v>2.4821156047480391</v>
      </c>
      <c r="M86">
        <v>4.697427988272449</v>
      </c>
      <c r="N86">
        <v>5.44666363048887</v>
      </c>
      <c r="O86">
        <v>6.3665684172744061</v>
      </c>
      <c r="P86">
        <v>9.4448374233713341</v>
      </c>
      <c r="Q86">
        <v>7.0710983947979704</v>
      </c>
      <c r="R86">
        <v>9.1960331665781219</v>
      </c>
      <c r="S86">
        <v>16.04401118898614</v>
      </c>
      <c r="T86">
        <v>24.207287674329109</v>
      </c>
      <c r="U86">
        <v>16.559522558808371</v>
      </c>
      <c r="V86">
        <v>15.84026674587677</v>
      </c>
      <c r="W86">
        <v>8.2631410386076816</v>
      </c>
      <c r="X86">
        <v>13.42127997740122</v>
      </c>
      <c r="Y86">
        <v>17.965924265685722</v>
      </c>
      <c r="Z86">
        <v>11.87662651422964</v>
      </c>
      <c r="AA86">
        <v>8.5988638333218574</v>
      </c>
      <c r="AB86">
        <v>4.6093032726977921</v>
      </c>
      <c r="AC86">
        <v>4.9607109782192653</v>
      </c>
      <c r="AD86">
        <v>6.0713943401511861</v>
      </c>
      <c r="AE86">
        <v>3.4276094036931442</v>
      </c>
      <c r="AF86">
        <v>4.1489223205294516</v>
      </c>
      <c r="AG86">
        <v>4.1553517158310234</v>
      </c>
      <c r="AH86">
        <v>5.7602490918526161</v>
      </c>
      <c r="AI86">
        <v>8.0634609093883274</v>
      </c>
      <c r="AJ86">
        <v>7.4617829574693353</v>
      </c>
      <c r="AK86">
        <v>4.5915492957746089</v>
      </c>
      <c r="AL86">
        <v>2.5585779692970481</v>
      </c>
      <c r="AM86">
        <v>2.2190126050420451</v>
      </c>
      <c r="AN86">
        <v>2.6974951830443179</v>
      </c>
      <c r="AO86">
        <v>2.8517823639774891</v>
      </c>
      <c r="AP86">
        <v>2.2011431351088189</v>
      </c>
      <c r="AQ86">
        <v>1.820561637315566</v>
      </c>
      <c r="AR86">
        <v>1.752950800514202</v>
      </c>
      <c r="AS86">
        <v>1.182956242104084</v>
      </c>
      <c r="AT86">
        <v>1.532349602724177</v>
      </c>
      <c r="AU86">
        <v>1.52040245947455</v>
      </c>
      <c r="AV86">
        <v>1.3765003854201301</v>
      </c>
      <c r="AW86">
        <v>1.390397566804219</v>
      </c>
      <c r="AX86">
        <v>2.0891364902506959</v>
      </c>
      <c r="AY86">
        <v>2.4556616643929048</v>
      </c>
      <c r="AZ86">
        <v>2.3865615077332709</v>
      </c>
      <c r="BA86">
        <v>3.5214085634253869</v>
      </c>
      <c r="BB86">
        <v>1.961731735601091</v>
      </c>
      <c r="BC86">
        <v>2.492654724670655</v>
      </c>
      <c r="BD86">
        <v>3.8561124468282002</v>
      </c>
      <c r="BE86">
        <v>2.573234796545302</v>
      </c>
      <c r="BF86">
        <v>2.2916666666665941</v>
      </c>
      <c r="BG86">
        <v>1.4511201629327919</v>
      </c>
      <c r="BH86">
        <v>0.36804684232536039</v>
      </c>
      <c r="BI86">
        <v>1.0084173681140951</v>
      </c>
      <c r="BJ86">
        <v>2.5577557755774731</v>
      </c>
      <c r="BK86">
        <v>2.292839903459376</v>
      </c>
      <c r="BL86">
        <v>1.738104600865128</v>
      </c>
      <c r="BM86">
        <v>0.98948670377249126</v>
      </c>
      <c r="BN86">
        <v>2.51837109614213</v>
      </c>
      <c r="BO86">
        <v>7.9220488314790227</v>
      </c>
      <c r="BP86">
        <v>6.7939670679396258</v>
      </c>
      <c r="BQ86">
        <v>3.2715729463592012</v>
      </c>
    </row>
    <row r="87" spans="1:69" x14ac:dyDescent="0.25">
      <c r="A87" t="s">
        <v>3185</v>
      </c>
      <c r="B87" t="s">
        <v>3186</v>
      </c>
      <c r="C87" t="s">
        <v>3023</v>
      </c>
      <c r="D87" t="s">
        <v>3024</v>
      </c>
      <c r="AN87">
        <v>162.71715215037699</v>
      </c>
      <c r="AO87">
        <v>39.35749999871458</v>
      </c>
      <c r="AP87">
        <v>7.0876176294872613</v>
      </c>
      <c r="AQ87">
        <v>3.5668078127878289</v>
      </c>
      <c r="AR87">
        <v>19.19267582188947</v>
      </c>
      <c r="AS87">
        <v>4.0639620138259609</v>
      </c>
      <c r="AT87">
        <v>4.6460444205863398</v>
      </c>
      <c r="AU87">
        <v>5.5878373000079433</v>
      </c>
      <c r="AV87">
        <v>0.83773453153656796</v>
      </c>
      <c r="AW87">
        <v>5.6563263619113187</v>
      </c>
      <c r="AX87">
        <v>8.2470904311415811</v>
      </c>
      <c r="AY87">
        <v>9.1609650839449674</v>
      </c>
      <c r="AZ87">
        <v>9.2448974559240362</v>
      </c>
      <c r="BA87">
        <v>9.9994876155274692</v>
      </c>
      <c r="BB87">
        <v>1.727514611379096</v>
      </c>
      <c r="BC87">
        <v>7.1101789748609887</v>
      </c>
      <c r="BD87">
        <v>8.5429333333333002</v>
      </c>
      <c r="BE87">
        <v>-0.94365885327096399</v>
      </c>
      <c r="BF87">
        <v>-0.51205841094709237</v>
      </c>
      <c r="BG87">
        <v>3.0688121037954308</v>
      </c>
      <c r="BH87">
        <v>4.0035782069509729</v>
      </c>
      <c r="BI87">
        <v>2.1349271393912121</v>
      </c>
      <c r="BJ87">
        <v>6.0353172527211694</v>
      </c>
      <c r="BK87">
        <v>2.615244713976705</v>
      </c>
      <c r="BL87">
        <v>4.852898216967227</v>
      </c>
      <c r="BM87">
        <v>5.2024648897534043</v>
      </c>
      <c r="BN87">
        <v>9.5669143382476918</v>
      </c>
      <c r="BO87">
        <v>11.89816542031976</v>
      </c>
      <c r="BP87">
        <v>2.4877605657871462</v>
      </c>
      <c r="BQ87">
        <v>1.109717580220962</v>
      </c>
    </row>
    <row r="88" spans="1:69" x14ac:dyDescent="0.25">
      <c r="A88" t="s">
        <v>3187</v>
      </c>
      <c r="B88" t="s">
        <v>3188</v>
      </c>
      <c r="C88" t="s">
        <v>3023</v>
      </c>
      <c r="D88" t="s">
        <v>3024</v>
      </c>
      <c r="J88">
        <v>26.444784849017331</v>
      </c>
      <c r="K88">
        <v>13.237885462653869</v>
      </c>
      <c r="L88">
        <v>-8.4224858978028294</v>
      </c>
      <c r="M88">
        <v>7.8947368421053898</v>
      </c>
      <c r="N88">
        <v>7.3170731626012477</v>
      </c>
      <c r="O88">
        <v>3.0303030305326542</v>
      </c>
      <c r="P88">
        <v>9.5588235374677222</v>
      </c>
      <c r="Q88">
        <v>10.067114093959489</v>
      </c>
      <c r="R88">
        <v>17.682926823171069</v>
      </c>
      <c r="S88">
        <v>18.13471502684633</v>
      </c>
      <c r="T88">
        <v>29.824561404816809</v>
      </c>
      <c r="U88">
        <v>56.081081082975579</v>
      </c>
      <c r="V88">
        <v>116.4502164536386</v>
      </c>
      <c r="W88">
        <v>73.091666667343034</v>
      </c>
      <c r="X88">
        <v>54.441288334561612</v>
      </c>
      <c r="Y88">
        <v>50.070139343636441</v>
      </c>
      <c r="Z88">
        <v>116.5036039965411</v>
      </c>
      <c r="AA88">
        <v>22.295566408089329</v>
      </c>
      <c r="AB88">
        <v>122.8745145725921</v>
      </c>
      <c r="AC88">
        <v>39.665313794726757</v>
      </c>
      <c r="AD88">
        <v>10.30544066982954</v>
      </c>
      <c r="AE88">
        <v>24.565416076500071</v>
      </c>
      <c r="AF88">
        <v>39.815067877536322</v>
      </c>
      <c r="AG88">
        <v>31.359267626476839</v>
      </c>
      <c r="AH88">
        <v>25.22369202958248</v>
      </c>
      <c r="AI88">
        <v>37.259066485567082</v>
      </c>
      <c r="AJ88">
        <v>18.031439008984911</v>
      </c>
      <c r="AK88">
        <v>10.056116744884131</v>
      </c>
      <c r="AL88">
        <v>24.95984247424968</v>
      </c>
      <c r="AM88">
        <v>24.870255436957631</v>
      </c>
      <c r="AN88">
        <v>59.461553699144623</v>
      </c>
      <c r="AO88">
        <v>46.561019676228227</v>
      </c>
      <c r="AP88">
        <v>27.88520864075274</v>
      </c>
      <c r="AQ88">
        <v>14.62416666666746</v>
      </c>
      <c r="AR88">
        <v>4.8653978507752846</v>
      </c>
      <c r="AS88">
        <v>40.240933123914012</v>
      </c>
      <c r="AT88">
        <v>41.509496287803017</v>
      </c>
      <c r="AU88">
        <v>9.3609323956031272</v>
      </c>
      <c r="AV88">
        <v>29.77297971603836</v>
      </c>
      <c r="AW88">
        <v>18.042738823256489</v>
      </c>
      <c r="AX88">
        <v>15.438992015590831</v>
      </c>
      <c r="AY88">
        <v>11.67918393924918</v>
      </c>
      <c r="AZ88">
        <v>10.7342665456292</v>
      </c>
      <c r="BA88">
        <v>16.494639613412009</v>
      </c>
      <c r="BB88">
        <v>19.24694822208571</v>
      </c>
      <c r="BC88">
        <v>10.73338983549149</v>
      </c>
      <c r="BD88">
        <v>8.7284593709301994</v>
      </c>
      <c r="BE88">
        <v>11.186340944106719</v>
      </c>
      <c r="BF88">
        <v>11.66619230717286</v>
      </c>
      <c r="BG88">
        <v>15.48961603333184</v>
      </c>
      <c r="BH88">
        <v>17.149969500787758</v>
      </c>
      <c r="BI88">
        <v>17.454634707086761</v>
      </c>
      <c r="BJ88">
        <v>12.371921550704849</v>
      </c>
      <c r="BK88">
        <v>7.8087651661070296</v>
      </c>
      <c r="BL88">
        <v>7.1436400333085688</v>
      </c>
      <c r="BM88">
        <v>9.8872895626994417</v>
      </c>
      <c r="BN88">
        <v>9.9710886750443954</v>
      </c>
      <c r="BO88">
        <v>31.255895104901629</v>
      </c>
      <c r="BP88">
        <v>38.106965629650148</v>
      </c>
      <c r="BQ88">
        <v>22.84832811578422</v>
      </c>
    </row>
    <row r="89" spans="1:69" x14ac:dyDescent="0.25">
      <c r="A89" t="s">
        <v>3189</v>
      </c>
      <c r="B89" t="s">
        <v>3190</v>
      </c>
      <c r="C89" t="s">
        <v>3023</v>
      </c>
      <c r="D89" t="s">
        <v>3024</v>
      </c>
    </row>
    <row r="90" spans="1:69" x14ac:dyDescent="0.25">
      <c r="A90" t="s">
        <v>3191</v>
      </c>
      <c r="B90" t="s">
        <v>3192</v>
      </c>
      <c r="C90" t="s">
        <v>3023</v>
      </c>
      <c r="D90" t="s">
        <v>3024</v>
      </c>
      <c r="AX90">
        <v>31.3733025877534</v>
      </c>
      <c r="AY90">
        <v>34.695270599707221</v>
      </c>
      <c r="AZ90">
        <v>18.175565610859739</v>
      </c>
      <c r="BA90">
        <v>23.06561293879799</v>
      </c>
      <c r="BB90">
        <v>4.6843886897650409</v>
      </c>
      <c r="BC90">
        <v>15.050268855900081</v>
      </c>
      <c r="BD90">
        <v>21.316926854257702</v>
      </c>
      <c r="BE90">
        <v>15.2262941038638</v>
      </c>
      <c r="BF90">
        <v>11.887588448182759</v>
      </c>
      <c r="BG90">
        <v>6.150505567064199</v>
      </c>
      <c r="BH90">
        <v>11.78008250298339</v>
      </c>
      <c r="BI90">
        <v>8.1726811227513156</v>
      </c>
      <c r="BJ90">
        <v>8.9143594791309706</v>
      </c>
      <c r="BK90">
        <v>9.8276170125919116</v>
      </c>
      <c r="BL90">
        <v>9.4700103925301242</v>
      </c>
      <c r="BM90">
        <v>10.601620338716661</v>
      </c>
      <c r="BN90">
        <v>12.59728825669343</v>
      </c>
      <c r="BO90">
        <v>10.49304099844241</v>
      </c>
      <c r="BP90">
        <v>7.8049759192797348</v>
      </c>
      <c r="BQ90">
        <v>8.1231391494859615</v>
      </c>
    </row>
    <row r="91" spans="1:69" x14ac:dyDescent="0.25">
      <c r="A91" t="s">
        <v>3193</v>
      </c>
      <c r="B91" t="s">
        <v>3194</v>
      </c>
      <c r="C91" t="s">
        <v>3023</v>
      </c>
      <c r="D91" t="s">
        <v>3024</v>
      </c>
      <c r="G91">
        <v>1.7876178761051711</v>
      </c>
      <c r="H91">
        <v>4.6161282529872132</v>
      </c>
      <c r="I91">
        <v>-4.5356537812367899</v>
      </c>
      <c r="J91">
        <v>1.2180366216885561</v>
      </c>
      <c r="K91">
        <v>0.23908192532821959</v>
      </c>
      <c r="L91">
        <v>1.407218953816767</v>
      </c>
      <c r="M91">
        <v>4.1787534301288716</v>
      </c>
      <c r="N91">
        <v>5.0120409388401654</v>
      </c>
      <c r="O91">
        <v>-1.9850938796199511</v>
      </c>
      <c r="P91">
        <v>3.0562257804500841</v>
      </c>
      <c r="Q91">
        <v>8.698119900794353</v>
      </c>
      <c r="R91">
        <v>6.9186084458901949</v>
      </c>
      <c r="S91">
        <v>9.2363103596685328</v>
      </c>
      <c r="T91">
        <v>25.924999999499938</v>
      </c>
      <c r="U91">
        <v>17.027331083251941</v>
      </c>
      <c r="V91">
        <v>12.38973083012857</v>
      </c>
      <c r="W91">
        <v>8.8553459121409102</v>
      </c>
      <c r="X91">
        <v>6.1289577073428152</v>
      </c>
      <c r="Y91">
        <v>6.8246156524779682</v>
      </c>
      <c r="Z91">
        <v>5.9442270061444518</v>
      </c>
      <c r="AA91">
        <v>10.855845455308909</v>
      </c>
      <c r="AB91">
        <v>10.636303676138549</v>
      </c>
      <c r="AC91">
        <v>22.09845941453268</v>
      </c>
      <c r="AD91">
        <v>18.319884874273018</v>
      </c>
      <c r="AE91">
        <v>56.560172013504022</v>
      </c>
      <c r="AF91">
        <v>23.52916695569413</v>
      </c>
      <c r="AG91">
        <v>11.69058688767633</v>
      </c>
      <c r="AH91">
        <v>8.2750160875159171</v>
      </c>
      <c r="AI91">
        <v>12.16778411306958</v>
      </c>
      <c r="AJ91">
        <v>8.6423432597343783</v>
      </c>
      <c r="AK91">
        <v>9.4865425061716326</v>
      </c>
      <c r="AL91">
        <v>6.463804227538466</v>
      </c>
      <c r="AM91">
        <v>1.710206323056372</v>
      </c>
      <c r="AN91">
        <v>6.9809744183055598</v>
      </c>
      <c r="AO91">
        <v>1.099488707710178</v>
      </c>
      <c r="AP91">
        <v>2.781227900232293</v>
      </c>
      <c r="AQ91">
        <v>1.114188411747133</v>
      </c>
      <c r="AR91">
        <v>3.812372053660197</v>
      </c>
      <c r="AS91">
        <v>0.84496956677370016</v>
      </c>
      <c r="AT91">
        <v>4.4925960923975428</v>
      </c>
      <c r="AU91">
        <v>8.6091247438632692</v>
      </c>
      <c r="AV91">
        <v>17.032866543198828</v>
      </c>
      <c r="AW91">
        <v>14.206743284556881</v>
      </c>
      <c r="AX91">
        <v>4.8386217754315668</v>
      </c>
      <c r="AY91">
        <v>2.0565034236599011</v>
      </c>
      <c r="AZ91">
        <v>5.3691347380195671</v>
      </c>
      <c r="BA91">
        <v>4.4436549094500979</v>
      </c>
      <c r="BB91">
        <v>4.561506876709827</v>
      </c>
      <c r="BC91">
        <v>5.0496807585740173</v>
      </c>
      <c r="BD91">
        <v>4.7958826618310999</v>
      </c>
      <c r="BE91">
        <v>4.2543219981389857</v>
      </c>
      <c r="BF91">
        <v>5.6991298963738197</v>
      </c>
      <c r="BG91">
        <v>5.9479993569662577</v>
      </c>
      <c r="BH91">
        <v>6.8084549457960994</v>
      </c>
      <c r="BI91">
        <v>7.2287927205792242</v>
      </c>
      <c r="BJ91">
        <v>8.0341897454591127</v>
      </c>
      <c r="BK91">
        <v>6.5209682394657262</v>
      </c>
      <c r="BL91">
        <v>7.1156762563119216</v>
      </c>
      <c r="BM91">
        <v>5.9312763656244059</v>
      </c>
      <c r="BN91">
        <v>7.3703475887661787</v>
      </c>
      <c r="BO91">
        <v>11.513119838050491</v>
      </c>
      <c r="BP91">
        <v>16.974212963232691</v>
      </c>
      <c r="BQ91">
        <v>11.56105328975111</v>
      </c>
    </row>
    <row r="92" spans="1:69" x14ac:dyDescent="0.25">
      <c r="A92" t="s">
        <v>3195</v>
      </c>
      <c r="B92" t="s">
        <v>3196</v>
      </c>
      <c r="C92" t="s">
        <v>3023</v>
      </c>
      <c r="D92" t="s">
        <v>3024</v>
      </c>
      <c r="AG92">
        <v>60.2817826333536</v>
      </c>
      <c r="AH92">
        <v>80.788140643623322</v>
      </c>
      <c r="AI92">
        <v>33.00197783180257</v>
      </c>
      <c r="AJ92">
        <v>57.595284750566357</v>
      </c>
      <c r="AK92">
        <v>69.583636399379316</v>
      </c>
      <c r="AL92">
        <v>48.108166068706673</v>
      </c>
      <c r="AM92">
        <v>15.176347431344119</v>
      </c>
      <c r="AN92">
        <v>45.365308362185608</v>
      </c>
      <c r="AO92">
        <v>50.73405496121191</v>
      </c>
      <c r="AP92">
        <v>49.100923576953051</v>
      </c>
      <c r="AQ92">
        <v>8.0137551896560275</v>
      </c>
      <c r="AR92">
        <v>-2.0863051322352719</v>
      </c>
      <c r="AS92">
        <v>8.6363209493027835</v>
      </c>
      <c r="AT92">
        <v>3.3481226552710792</v>
      </c>
      <c r="AU92">
        <v>3.3001217528375171</v>
      </c>
      <c r="AV92">
        <v>-3.5025855110342099</v>
      </c>
      <c r="AW92">
        <v>0.88330269693094343</v>
      </c>
      <c r="AX92">
        <v>3.3291992280285561</v>
      </c>
      <c r="AY92">
        <v>1.954737176289165</v>
      </c>
      <c r="AZ92">
        <v>4.6174377224199663</v>
      </c>
      <c r="BA92">
        <v>10.46007313547063</v>
      </c>
      <c r="BB92">
        <v>-1.6513973362077501</v>
      </c>
      <c r="BC92">
        <v>2.5178514017170142</v>
      </c>
      <c r="BD92">
        <v>5.0461022632020001</v>
      </c>
      <c r="BE92">
        <v>2.1305458027450279</v>
      </c>
      <c r="BF92">
        <v>1.2071255566840451</v>
      </c>
      <c r="BG92">
        <v>-1.5092446057049389</v>
      </c>
      <c r="BH92">
        <v>1.4767204891048471</v>
      </c>
      <c r="BI92">
        <v>1.503120558610882</v>
      </c>
      <c r="BJ92">
        <v>1.691114618222977</v>
      </c>
      <c r="BK92">
        <v>0.38132470279099151</v>
      </c>
      <c r="BL92">
        <v>0.24660026814782951</v>
      </c>
      <c r="BM92">
        <v>1.140009393932222</v>
      </c>
      <c r="BN92">
        <v>2.2424887957765849</v>
      </c>
      <c r="BO92">
        <v>9.3907593398520302</v>
      </c>
      <c r="BP92">
        <v>7.1022092855705923</v>
      </c>
      <c r="BQ92">
        <v>3.7655582577011399</v>
      </c>
    </row>
    <row r="93" spans="1:69" x14ac:dyDescent="0.25">
      <c r="A93" t="s">
        <v>3197</v>
      </c>
      <c r="B93" t="s">
        <v>3198</v>
      </c>
      <c r="C93" t="s">
        <v>3023</v>
      </c>
      <c r="D93" t="s">
        <v>3024</v>
      </c>
      <c r="AE93">
        <v>-17.640424092037129</v>
      </c>
      <c r="AF93">
        <v>-13.174472747192739</v>
      </c>
      <c r="AG93">
        <v>2.5236593059939132</v>
      </c>
      <c r="AH93">
        <v>6.1661538461536294</v>
      </c>
      <c r="AI93">
        <v>0.85787155112473545</v>
      </c>
      <c r="AJ93">
        <v>-3.425287356322015</v>
      </c>
      <c r="AK93">
        <v>-4.2787431563912879</v>
      </c>
      <c r="AL93">
        <v>5.4522847373327981</v>
      </c>
      <c r="AM93">
        <v>31.841016841638542</v>
      </c>
      <c r="AN93">
        <v>19.872434948347209</v>
      </c>
      <c r="AO93">
        <v>4.5407277154023467</v>
      </c>
      <c r="AP93">
        <v>3.0165054069436619</v>
      </c>
      <c r="AQ93">
        <v>7.9357106981414809</v>
      </c>
      <c r="AR93">
        <v>0.37226617031192782</v>
      </c>
      <c r="AS93">
        <v>4.8022888690139771</v>
      </c>
      <c r="AT93">
        <v>8.8253892585496612</v>
      </c>
      <c r="AU93">
        <v>7.5924784983324001</v>
      </c>
      <c r="AV93">
        <v>7.3235439935180873</v>
      </c>
      <c r="AW93">
        <v>4.2196878709483414</v>
      </c>
      <c r="AX93">
        <v>5.6316335135761317</v>
      </c>
      <c r="AY93">
        <v>4.4158998416956088</v>
      </c>
      <c r="AZ93">
        <v>2.8037383177570372</v>
      </c>
      <c r="BA93">
        <v>6.5517669118453536</v>
      </c>
      <c r="BB93">
        <v>4.6910656774737491</v>
      </c>
      <c r="BC93">
        <v>7.7891654799118353</v>
      </c>
      <c r="BD93">
        <v>4.8053892215570002</v>
      </c>
      <c r="BE93">
        <v>3.6566204827880568</v>
      </c>
      <c r="BF93">
        <v>2.9488769463966218</v>
      </c>
      <c r="BG93">
        <v>4.3099986614910737</v>
      </c>
      <c r="BH93">
        <v>1.6766308531598819</v>
      </c>
      <c r="BI93">
        <v>1.411939154790155</v>
      </c>
      <c r="BJ93">
        <v>0.74435474661241041</v>
      </c>
      <c r="BK93">
        <v>1.0600741066217121</v>
      </c>
      <c r="BL93">
        <v>1.5302752896418901</v>
      </c>
      <c r="BM93">
        <v>4.7666952394422824</v>
      </c>
      <c r="BN93">
        <v>-9.7100766464019841E-2</v>
      </c>
      <c r="BO93">
        <v>4.7867170471080298</v>
      </c>
      <c r="BP93">
        <v>2.8594950603732179</v>
      </c>
      <c r="BQ93">
        <v>2.921402273091033</v>
      </c>
    </row>
    <row r="94" spans="1:69" x14ac:dyDescent="0.25">
      <c r="A94" t="s">
        <v>3199</v>
      </c>
      <c r="B94" t="s">
        <v>3200</v>
      </c>
      <c r="C94" t="s">
        <v>3023</v>
      </c>
      <c r="D94" t="s">
        <v>3024</v>
      </c>
      <c r="E94">
        <v>1.4778475849337609</v>
      </c>
      <c r="F94">
        <v>2.1035793499702491</v>
      </c>
      <c r="G94">
        <v>-0.47542829104991352</v>
      </c>
      <c r="H94">
        <v>3.1846627279159949</v>
      </c>
      <c r="I94">
        <v>0.61730297851260918</v>
      </c>
      <c r="J94">
        <v>3.220872469970955</v>
      </c>
      <c r="K94">
        <v>4.903415961306008</v>
      </c>
      <c r="L94">
        <v>1.841357027505897</v>
      </c>
      <c r="M94">
        <v>0.1390605835078319</v>
      </c>
      <c r="N94">
        <v>2.6389186883548472</v>
      </c>
      <c r="O94">
        <v>2.8416706788411008</v>
      </c>
      <c r="P94">
        <v>3.2894707223033328</v>
      </c>
      <c r="Q94">
        <v>4.3312012320335569</v>
      </c>
      <c r="R94">
        <v>15.384624070212769</v>
      </c>
      <c r="S94">
        <v>26.560846586734851</v>
      </c>
      <c r="T94">
        <v>13.62876178217542</v>
      </c>
      <c r="U94">
        <v>13.024279458795551</v>
      </c>
      <c r="V94">
        <v>12.36979708750779</v>
      </c>
      <c r="W94">
        <v>12.57242567244419</v>
      </c>
      <c r="X94">
        <v>19.094174680876652</v>
      </c>
      <c r="Y94">
        <v>24.675893973623349</v>
      </c>
      <c r="Z94">
        <v>24.506067597796442</v>
      </c>
      <c r="AA94">
        <v>20.991088622001691</v>
      </c>
      <c r="AB94">
        <v>20.179481289213779</v>
      </c>
      <c r="AC94">
        <v>18.456813205018669</v>
      </c>
      <c r="AD94">
        <v>19.314692940664312</v>
      </c>
      <c r="AE94">
        <v>23.015450820501201</v>
      </c>
      <c r="AF94">
        <v>16.396863163536409</v>
      </c>
      <c r="AG94">
        <v>13.528858321504821</v>
      </c>
      <c r="AH94">
        <v>13.65556387236124</v>
      </c>
      <c r="AI94">
        <v>20.433499109463</v>
      </c>
      <c r="AJ94">
        <v>19.455845644574541</v>
      </c>
      <c r="AK94">
        <v>15.877073792391879</v>
      </c>
      <c r="AL94">
        <v>14.41126444393487</v>
      </c>
      <c r="AM94">
        <v>10.874075680913091</v>
      </c>
      <c r="AN94">
        <v>8.9345141596151194</v>
      </c>
      <c r="AO94">
        <v>8.1945521763272815</v>
      </c>
      <c r="AP94">
        <v>5.5360026677348229</v>
      </c>
      <c r="AQ94">
        <v>4.7662257239764543</v>
      </c>
      <c r="AR94">
        <v>2.6366330602198018</v>
      </c>
      <c r="AS94">
        <v>3.151181624938268</v>
      </c>
      <c r="AT94">
        <v>3.3739683221386469</v>
      </c>
      <c r="AU94">
        <v>3.6293587187887382</v>
      </c>
      <c r="AV94">
        <v>3.5306502776555431</v>
      </c>
      <c r="AW94">
        <v>2.898848107581673</v>
      </c>
      <c r="AX94">
        <v>3.5450727333508021</v>
      </c>
      <c r="AY94">
        <v>3.1959468414454348</v>
      </c>
      <c r="AZ94">
        <v>2.8950032151657838</v>
      </c>
      <c r="BA94">
        <v>4.1527970811029018</v>
      </c>
      <c r="BB94">
        <v>1.210072691978092</v>
      </c>
      <c r="BC94">
        <v>4.7129890776039494</v>
      </c>
      <c r="BD94">
        <v>3.3298532335064999</v>
      </c>
      <c r="BE94">
        <v>1.5015269617775771</v>
      </c>
      <c r="BF94">
        <v>-0.92126945425689855</v>
      </c>
      <c r="BG94">
        <v>-1.3122609640552541</v>
      </c>
      <c r="BH94">
        <v>-1.735888047652747</v>
      </c>
      <c r="BI94">
        <v>-0.82565397839103283</v>
      </c>
      <c r="BJ94">
        <v>1.121254520314255</v>
      </c>
      <c r="BK94">
        <v>0.62562141345364031</v>
      </c>
      <c r="BL94">
        <v>0.25300752203805882</v>
      </c>
      <c r="BM94">
        <v>-1.247983555814054</v>
      </c>
      <c r="BN94">
        <v>1.2238250101985439</v>
      </c>
      <c r="BO94">
        <v>9.6452598128064242</v>
      </c>
      <c r="BP94">
        <v>3.4648012851340519</v>
      </c>
      <c r="BQ94">
        <v>2.741018756794773</v>
      </c>
    </row>
    <row r="95" spans="1:69" x14ac:dyDescent="0.25">
      <c r="A95" t="s">
        <v>3201</v>
      </c>
      <c r="B95" t="s">
        <v>3202</v>
      </c>
      <c r="C95" t="s">
        <v>3023</v>
      </c>
      <c r="D95" t="s">
        <v>3024</v>
      </c>
      <c r="V95">
        <v>18.45688350983372</v>
      </c>
      <c r="W95">
        <v>18.135376756066471</v>
      </c>
      <c r="X95">
        <v>20.882882882883131</v>
      </c>
      <c r="Y95">
        <v>21.821433894767988</v>
      </c>
      <c r="Z95">
        <v>18.787470940902569</v>
      </c>
      <c r="AA95">
        <v>7.8127414121648942</v>
      </c>
      <c r="AB95">
        <v>6.095347281933436</v>
      </c>
      <c r="AC95">
        <v>5.6596127870328834</v>
      </c>
      <c r="AD95">
        <v>2.5013849235097929</v>
      </c>
      <c r="AE95">
        <v>0.55707990355053183</v>
      </c>
      <c r="AF95">
        <v>-0.8723333884575093</v>
      </c>
      <c r="AG95">
        <v>4.0000000000001323</v>
      </c>
      <c r="AH95">
        <v>5.5929487179489561</v>
      </c>
      <c r="AI95">
        <v>2.7242373653052518</v>
      </c>
      <c r="AJ95">
        <v>2.644603678806777</v>
      </c>
      <c r="AK95">
        <v>3.7783375314861769</v>
      </c>
      <c r="AL95">
        <v>2.8085991678224529</v>
      </c>
      <c r="AM95">
        <v>3.7706576728496488</v>
      </c>
      <c r="AN95">
        <v>1.868824752989779</v>
      </c>
      <c r="AO95">
        <v>2.0323517212778248</v>
      </c>
      <c r="AP95">
        <v>1.2445278298934339</v>
      </c>
      <c r="AQ95">
        <v>1.3776933038949639</v>
      </c>
      <c r="AR95">
        <v>0.57742763867711933</v>
      </c>
      <c r="AS95">
        <v>2.1818181818182101</v>
      </c>
      <c r="AT95">
        <v>3.1409930520254341</v>
      </c>
      <c r="AU95">
        <v>1.067215479928745</v>
      </c>
      <c r="AV95">
        <v>2.1549280990867929</v>
      </c>
      <c r="AW95">
        <v>2.3129167822611039</v>
      </c>
      <c r="AX95">
        <v>3.4758069375540011</v>
      </c>
      <c r="AY95">
        <v>4.2519532197796712</v>
      </c>
      <c r="AZ95">
        <v>3.8588292246965259</v>
      </c>
      <c r="BA95">
        <v>8.033273276503401</v>
      </c>
      <c r="BB95">
        <v>-0.30865477958564158</v>
      </c>
      <c r="BC95">
        <v>3.436509059433511</v>
      </c>
      <c r="BD95">
        <v>3.0334728033473999</v>
      </c>
      <c r="BE95">
        <v>2.4107770402186248</v>
      </c>
      <c r="BF95">
        <v>-4.3999786482805829E-2</v>
      </c>
      <c r="BG95">
        <v>-0.98360305555497951</v>
      </c>
      <c r="BH95">
        <v>-0.51544803143532947</v>
      </c>
      <c r="BI95">
        <v>1.6503899443157279</v>
      </c>
      <c r="BJ95">
        <v>0.90845825587424922</v>
      </c>
      <c r="BK95">
        <v>0.80410231327703341</v>
      </c>
      <c r="BL95">
        <v>0.59814976473602233</v>
      </c>
      <c r="BM95">
        <v>-0.74073259704549765</v>
      </c>
      <c r="BN95">
        <v>1.2195119391683791</v>
      </c>
      <c r="BO95">
        <v>2.5805392590791958</v>
      </c>
      <c r="BP95">
        <v>2.6961226981456439</v>
      </c>
      <c r="BQ95">
        <v>1.0861536513473651</v>
      </c>
    </row>
    <row r="96" spans="1:69" x14ac:dyDescent="0.25">
      <c r="A96" t="s">
        <v>3203</v>
      </c>
      <c r="B96" t="s">
        <v>3204</v>
      </c>
      <c r="C96" t="s">
        <v>3023</v>
      </c>
      <c r="D96" t="s">
        <v>3024</v>
      </c>
    </row>
    <row r="97" spans="1:69" x14ac:dyDescent="0.25">
      <c r="A97" t="s">
        <v>3205</v>
      </c>
      <c r="B97" t="s">
        <v>3206</v>
      </c>
      <c r="C97" t="s">
        <v>3023</v>
      </c>
      <c r="D97" t="s">
        <v>3024</v>
      </c>
      <c r="E97">
        <v>-1.1906931534600049</v>
      </c>
      <c r="F97">
        <v>-0.55333538272656391</v>
      </c>
      <c r="G97">
        <v>2.0525502320969902</v>
      </c>
      <c r="H97">
        <v>0.15145089937591369</v>
      </c>
      <c r="I97">
        <v>-0.1935639970365518</v>
      </c>
      <c r="J97">
        <v>-0.80000000000353666</v>
      </c>
      <c r="K97">
        <v>0.68426197446523451</v>
      </c>
      <c r="L97">
        <v>0.48543689344874502</v>
      </c>
      <c r="M97">
        <v>1.9263285023008589</v>
      </c>
      <c r="N97">
        <v>2.0972806447157661</v>
      </c>
      <c r="O97">
        <v>2.34433934881414</v>
      </c>
      <c r="P97">
        <v>-0.4535918807638048</v>
      </c>
      <c r="Q97">
        <v>0.52970325232301163</v>
      </c>
      <c r="R97">
        <v>13.79603399450191</v>
      </c>
      <c r="S97">
        <v>16.494896689013391</v>
      </c>
      <c r="T97">
        <v>13.15924437985824</v>
      </c>
      <c r="U97">
        <v>10.724999999250031</v>
      </c>
      <c r="V97">
        <v>12.32457968609989</v>
      </c>
      <c r="W97">
        <v>8.2879762495770422</v>
      </c>
      <c r="X97">
        <v>11.343385881160721</v>
      </c>
      <c r="Y97">
        <v>10.82384323354108</v>
      </c>
      <c r="Z97">
        <v>11.43306795035048</v>
      </c>
      <c r="AA97">
        <v>0.30738556143707241</v>
      </c>
      <c r="AB97">
        <v>4.5386781513325323</v>
      </c>
      <c r="AC97">
        <v>3.406750118377937</v>
      </c>
      <c r="AD97">
        <v>18.686791297123829</v>
      </c>
      <c r="AE97">
        <v>36.931121296501622</v>
      </c>
      <c r="AF97">
        <v>12.32321327550458</v>
      </c>
      <c r="AG97">
        <v>10.83270376899122</v>
      </c>
      <c r="AH97">
        <v>11.387132199795809</v>
      </c>
      <c r="AI97">
        <v>41.221867138097259</v>
      </c>
      <c r="AJ97">
        <v>33.166421916753471</v>
      </c>
      <c r="AK97">
        <v>10.04591799840882</v>
      </c>
      <c r="AL97">
        <v>11.819690174625659</v>
      </c>
      <c r="AM97">
        <v>10.85532114943909</v>
      </c>
      <c r="AN97">
        <v>8.4114131227056639</v>
      </c>
      <c r="AO97">
        <v>11.056916532198739</v>
      </c>
      <c r="AP97">
        <v>9.2329029488493468</v>
      </c>
      <c r="AQ97">
        <v>6.6134607051805814</v>
      </c>
      <c r="AR97">
        <v>5.2136105860112218</v>
      </c>
      <c r="AS97">
        <v>5.9775773473713576</v>
      </c>
      <c r="AT97">
        <v>7.2858736661013754</v>
      </c>
      <c r="AU97">
        <v>8.1326305428105403</v>
      </c>
      <c r="AV97">
        <v>5.6034767543446904</v>
      </c>
      <c r="AW97">
        <v>7.5786224730972913</v>
      </c>
      <c r="AX97">
        <v>9.1086498571922032</v>
      </c>
      <c r="AY97">
        <v>6.5608528279538376</v>
      </c>
      <c r="AZ97">
        <v>6.8216175359032647</v>
      </c>
      <c r="BA97">
        <v>11.355761126315</v>
      </c>
      <c r="BB97">
        <v>1.8591025473302849</v>
      </c>
      <c r="BC97">
        <v>3.8595090983316021</v>
      </c>
      <c r="BD97">
        <v>6.2141239306709997</v>
      </c>
      <c r="BE97">
        <v>3.7818075467967791</v>
      </c>
      <c r="BF97">
        <v>4.3433713127952061</v>
      </c>
      <c r="BG97">
        <v>3.4183616966295971</v>
      </c>
      <c r="BH97">
        <v>2.388720328395503</v>
      </c>
      <c r="BI97">
        <v>4.4484419994282689</v>
      </c>
      <c r="BJ97">
        <v>4.4245365518254589</v>
      </c>
      <c r="BK97">
        <v>3.7518618670450801</v>
      </c>
      <c r="BL97">
        <v>3.6999839800860479</v>
      </c>
      <c r="BM97">
        <v>3.2144406219734512</v>
      </c>
      <c r="BN97">
        <v>4.261051274228131</v>
      </c>
      <c r="BO97">
        <v>6.8851282334428694</v>
      </c>
      <c r="BP97">
        <v>6.2065759227212594</v>
      </c>
      <c r="BQ97">
        <v>2.869927529182938</v>
      </c>
    </row>
    <row r="98" spans="1:69" x14ac:dyDescent="0.25">
      <c r="A98" t="s">
        <v>3207</v>
      </c>
      <c r="B98" t="s">
        <v>3208</v>
      </c>
      <c r="C98" t="s">
        <v>3023</v>
      </c>
      <c r="D98" t="s">
        <v>3024</v>
      </c>
    </row>
    <row r="99" spans="1:69" x14ac:dyDescent="0.25">
      <c r="A99" t="s">
        <v>3209</v>
      </c>
      <c r="B99" t="s">
        <v>3210</v>
      </c>
      <c r="C99" t="s">
        <v>3023</v>
      </c>
      <c r="D99" t="s">
        <v>3024</v>
      </c>
      <c r="AN99">
        <v>12.21052631578946</v>
      </c>
      <c r="AO99">
        <v>7.0947119727604528</v>
      </c>
      <c r="AP99">
        <v>3.555670905788086</v>
      </c>
      <c r="AQ99">
        <v>4.5864661654135022</v>
      </c>
      <c r="AR99">
        <v>7.5382193985139274</v>
      </c>
      <c r="AS99">
        <v>6.1485433302487138</v>
      </c>
      <c r="AT99">
        <v>2.62741314203332</v>
      </c>
      <c r="AU99">
        <v>5.3410152137740967</v>
      </c>
      <c r="AV99">
        <v>5.9809781406647273</v>
      </c>
      <c r="AW99">
        <v>4.6684662236988199</v>
      </c>
      <c r="AX99">
        <v>6.9255430389015684</v>
      </c>
      <c r="AY99">
        <v>6.6771579041002758</v>
      </c>
      <c r="AZ99">
        <v>12.200154444664751</v>
      </c>
      <c r="BA99">
        <v>8.1020220696927563</v>
      </c>
      <c r="BB99">
        <v>2.9523009638100119</v>
      </c>
      <c r="BC99">
        <v>3.7333775770424569</v>
      </c>
      <c r="BD99">
        <v>4.9777356370697001</v>
      </c>
      <c r="BE99">
        <v>2.39193521312334</v>
      </c>
      <c r="BF99">
        <v>1.9012518186058229</v>
      </c>
      <c r="BG99">
        <v>0.85263049753991449</v>
      </c>
      <c r="BH99">
        <v>-1.0017343277637381</v>
      </c>
      <c r="BI99">
        <v>0.83600806150620732</v>
      </c>
      <c r="BJ99">
        <v>1.9046561551558381</v>
      </c>
      <c r="BK99">
        <v>1.2828428844352759</v>
      </c>
      <c r="BL99">
        <v>2.0872308916201261</v>
      </c>
      <c r="BM99">
        <v>0.99333702283873015</v>
      </c>
      <c r="BN99">
        <v>5.0328557462670194</v>
      </c>
      <c r="BO99">
        <v>6.1150555010993477</v>
      </c>
      <c r="BP99">
        <v>2.8211033509964119</v>
      </c>
      <c r="BQ99">
        <v>2.903952264463725</v>
      </c>
    </row>
    <row r="100" spans="1:69" x14ac:dyDescent="0.25">
      <c r="A100" t="s">
        <v>3211</v>
      </c>
      <c r="B100" t="s">
        <v>3212</v>
      </c>
      <c r="C100" t="s">
        <v>3023</v>
      </c>
      <c r="D100" t="s">
        <v>3024</v>
      </c>
    </row>
    <row r="101" spans="1:69" x14ac:dyDescent="0.25">
      <c r="A101" t="s">
        <v>3213</v>
      </c>
      <c r="B101" t="s">
        <v>3214</v>
      </c>
      <c r="C101" t="s">
        <v>3023</v>
      </c>
      <c r="D101" t="s">
        <v>3024</v>
      </c>
      <c r="AA101">
        <v>10.97046413502123</v>
      </c>
      <c r="AB101">
        <v>9.8859315589355017</v>
      </c>
      <c r="AC101">
        <v>8.6505190311418438</v>
      </c>
      <c r="AD101">
        <v>3.5031847133757461</v>
      </c>
      <c r="AE101">
        <v>3.384615384615338</v>
      </c>
      <c r="AF101">
        <v>5.6547619047619619</v>
      </c>
      <c r="AG101">
        <v>7.8873239436617952</v>
      </c>
      <c r="AH101">
        <v>10.18276762402091</v>
      </c>
      <c r="AI101">
        <v>10.426540284360231</v>
      </c>
      <c r="AJ101">
        <v>11.158798283261749</v>
      </c>
      <c r="AK101">
        <v>9.6525096525096608</v>
      </c>
      <c r="AL101">
        <v>8.8028169014085726</v>
      </c>
      <c r="AM101">
        <v>8.7378640776698475</v>
      </c>
      <c r="AN101">
        <v>9.0773809523809064</v>
      </c>
      <c r="AO101">
        <v>6.2755798090041166</v>
      </c>
      <c r="AP101">
        <v>5.7766367137352121</v>
      </c>
      <c r="AQ101">
        <v>2.9126213592239911</v>
      </c>
      <c r="AR101">
        <v>-4.0094339622644526</v>
      </c>
      <c r="AS101">
        <v>-3.6855036855036909</v>
      </c>
      <c r="AT101">
        <v>-1.658163265306094</v>
      </c>
      <c r="AU101">
        <v>-2.983138780804155</v>
      </c>
      <c r="AV101">
        <v>-2.6737967914439418</v>
      </c>
      <c r="AW101">
        <v>-0.27472527472525288</v>
      </c>
      <c r="AX101">
        <v>0.82644628099182738</v>
      </c>
      <c r="AY101">
        <v>2.0002516039753431</v>
      </c>
      <c r="AZ101">
        <v>2.0350271336951131</v>
      </c>
      <c r="BA101">
        <v>4.3031548410492082</v>
      </c>
      <c r="BB101">
        <v>0.57944141847260755</v>
      </c>
      <c r="BC101">
        <v>2.2928908860467341</v>
      </c>
      <c r="BD101">
        <v>5.3052489299392001</v>
      </c>
      <c r="BE101">
        <v>4.0539095090384354</v>
      </c>
      <c r="BF101">
        <v>4.3379934210526683</v>
      </c>
      <c r="BG101">
        <v>4.4236453201969876</v>
      </c>
      <c r="BH101">
        <v>2.9908481932258071</v>
      </c>
      <c r="BI101">
        <v>2.4093074386222382</v>
      </c>
      <c r="BJ101">
        <v>1.493872439395217</v>
      </c>
      <c r="BK101">
        <v>2.4061343204653389</v>
      </c>
      <c r="BL101">
        <v>2.883208537739963</v>
      </c>
      <c r="BM101">
        <v>0.2509620210807999</v>
      </c>
      <c r="BN101">
        <v>1.568758344459223</v>
      </c>
      <c r="BO101">
        <v>1.881367071968528</v>
      </c>
      <c r="BP101">
        <v>2.0966051124908929</v>
      </c>
      <c r="BQ101">
        <v>1.7297211910591399</v>
      </c>
    </row>
    <row r="102" spans="1:69" x14ac:dyDescent="0.25">
      <c r="A102" t="s">
        <v>3215</v>
      </c>
      <c r="B102" t="s">
        <v>3216</v>
      </c>
      <c r="C102" t="s">
        <v>3023</v>
      </c>
      <c r="D102" t="s">
        <v>3024</v>
      </c>
      <c r="E102">
        <v>-1.746238157107513</v>
      </c>
      <c r="F102">
        <v>1.5629923739268721</v>
      </c>
      <c r="G102">
        <v>1.09215017084013</v>
      </c>
      <c r="H102">
        <v>3.0814560186727382</v>
      </c>
      <c r="I102">
        <v>4.4721014708072628</v>
      </c>
      <c r="J102">
        <v>3.1862745099876291</v>
      </c>
      <c r="K102">
        <v>1.7842346571873779</v>
      </c>
      <c r="L102">
        <v>2.0918409866730809</v>
      </c>
      <c r="M102">
        <v>1.8612244897208641</v>
      </c>
      <c r="N102">
        <v>1.2582144573709699</v>
      </c>
      <c r="O102">
        <v>2.8808864266097989</v>
      </c>
      <c r="P102">
        <v>2.2232479422375899</v>
      </c>
      <c r="Q102">
        <v>3.6122817579933222</v>
      </c>
      <c r="R102">
        <v>5.1932016269113301</v>
      </c>
      <c r="S102">
        <v>12.84954774541869</v>
      </c>
      <c r="T102">
        <v>8.3761625062970957</v>
      </c>
      <c r="U102">
        <v>4.883418957908976</v>
      </c>
      <c r="V102">
        <v>8.4347077189512838</v>
      </c>
      <c r="W102">
        <v>5.7483246461822901</v>
      </c>
      <c r="X102">
        <v>12.135355892606141</v>
      </c>
      <c r="Y102">
        <v>18.061543035595552</v>
      </c>
      <c r="Z102">
        <v>9.4056912614249573</v>
      </c>
      <c r="AA102">
        <v>8.9826217061689242</v>
      </c>
      <c r="AB102">
        <v>8.2528116584825995</v>
      </c>
      <c r="AC102">
        <v>4.7263681592038918</v>
      </c>
      <c r="AD102">
        <v>3.3626752360860528</v>
      </c>
      <c r="AE102">
        <v>4.3527238320755934</v>
      </c>
      <c r="AF102">
        <v>2.487154022238983</v>
      </c>
      <c r="AG102">
        <v>4.4912576364018166</v>
      </c>
      <c r="AH102">
        <v>9.8504092576909805</v>
      </c>
      <c r="AI102">
        <v>23.32256643664671</v>
      </c>
      <c r="AJ102">
        <v>33.972260253586398</v>
      </c>
      <c r="AK102">
        <v>8.7598862525549421</v>
      </c>
      <c r="AL102">
        <v>10.74864671637196</v>
      </c>
      <c r="AM102">
        <v>21.729346883819009</v>
      </c>
      <c r="AN102">
        <v>29.464529228158529</v>
      </c>
      <c r="AO102">
        <v>23.837835307335801</v>
      </c>
      <c r="AP102">
        <v>20.199866755496181</v>
      </c>
      <c r="AQ102">
        <v>13.66810774858685</v>
      </c>
      <c r="AR102">
        <v>11.66374097913001</v>
      </c>
      <c r="AS102">
        <v>11.04803493449756</v>
      </c>
      <c r="AT102">
        <v>9.6741555686537666</v>
      </c>
      <c r="AU102">
        <v>7.690509720342706</v>
      </c>
      <c r="AV102">
        <v>7.6741663939793661</v>
      </c>
      <c r="AW102">
        <v>8.113790970933799</v>
      </c>
      <c r="AX102">
        <v>8.8090607481981902</v>
      </c>
      <c r="AY102">
        <v>5.5777520765429758</v>
      </c>
      <c r="AZ102">
        <v>6.9362147089577357</v>
      </c>
      <c r="BA102">
        <v>11.40342708139322</v>
      </c>
      <c r="BB102">
        <v>5.4963427377220837</v>
      </c>
      <c r="BC102">
        <v>4.6988906497622622</v>
      </c>
      <c r="BD102">
        <v>6.7622795731476</v>
      </c>
      <c r="BE102">
        <v>5.1961861553184754</v>
      </c>
      <c r="BF102">
        <v>5.1618989858149353</v>
      </c>
      <c r="BG102">
        <v>6.1292493031302238</v>
      </c>
      <c r="BH102">
        <v>3.157831179809234</v>
      </c>
      <c r="BI102">
        <v>2.7246122329528859</v>
      </c>
      <c r="BJ102">
        <v>3.9343608444204432</v>
      </c>
      <c r="BK102">
        <v>4.3473493777752843</v>
      </c>
      <c r="BL102">
        <v>4.3658715981926681</v>
      </c>
      <c r="BM102">
        <v>3.468411779511841</v>
      </c>
      <c r="BN102">
        <v>4.4808796341344523</v>
      </c>
      <c r="BO102">
        <v>9.0896391152502503</v>
      </c>
      <c r="BP102">
        <v>6.6632518034745676</v>
      </c>
      <c r="BQ102">
        <v>4.6062109812710688</v>
      </c>
    </row>
    <row r="103" spans="1:69" x14ac:dyDescent="0.25">
      <c r="A103" t="s">
        <v>3217</v>
      </c>
      <c r="B103" t="s">
        <v>3218</v>
      </c>
      <c r="C103" t="s">
        <v>3023</v>
      </c>
      <c r="D103" t="s">
        <v>3024</v>
      </c>
    </row>
    <row r="104" spans="1:69" x14ac:dyDescent="0.25">
      <c r="A104" t="s">
        <v>3219</v>
      </c>
      <c r="B104" t="s">
        <v>3220</v>
      </c>
      <c r="C104" t="s">
        <v>3023</v>
      </c>
      <c r="D104" t="s">
        <v>3024</v>
      </c>
      <c r="AE104">
        <v>50</v>
      </c>
      <c r="AF104">
        <v>133.33326374431491</v>
      </c>
      <c r="AG104">
        <v>185.71428571428541</v>
      </c>
      <c r="AH104">
        <v>1400</v>
      </c>
      <c r="AI104">
        <v>500.00000000000068</v>
      </c>
      <c r="AJ104">
        <v>122.2222222222214</v>
      </c>
      <c r="AK104">
        <v>625.00000000000068</v>
      </c>
      <c r="AL104">
        <v>1500</v>
      </c>
      <c r="AM104">
        <v>107.3275862068961</v>
      </c>
      <c r="AN104">
        <v>3.9501039501040238</v>
      </c>
      <c r="AO104">
        <v>4.2999999999999483</v>
      </c>
      <c r="AP104">
        <v>4.1706615532118763</v>
      </c>
      <c r="AQ104">
        <v>6.3966866083755383</v>
      </c>
      <c r="AR104">
        <v>4.0191387559808556</v>
      </c>
      <c r="AS104">
        <v>4.6113155473780107</v>
      </c>
      <c r="AT104">
        <v>3.7767024666588882</v>
      </c>
      <c r="AU104">
        <v>1.6717843739338261</v>
      </c>
      <c r="AV104">
        <v>1.767337807606286</v>
      </c>
      <c r="AW104">
        <v>2.0553967905032802</v>
      </c>
      <c r="AX104">
        <v>3.3171782444804521</v>
      </c>
      <c r="AY104">
        <v>3.1898259147294921</v>
      </c>
      <c r="AZ104">
        <v>2.8992827558338838</v>
      </c>
      <c r="BA104">
        <v>6.0769683879835412</v>
      </c>
      <c r="BB104">
        <v>2.3785284590467421</v>
      </c>
      <c r="BC104">
        <v>1.0305550533357359</v>
      </c>
      <c r="BD104">
        <v>2.2727272727273</v>
      </c>
      <c r="BE104">
        <v>3.4120734908135808</v>
      </c>
      <c r="BF104">
        <v>2.2165820642977878</v>
      </c>
      <c r="BG104">
        <v>-0.2151961595762682</v>
      </c>
      <c r="BH104">
        <v>-0.46449900464491062</v>
      </c>
      <c r="BI104">
        <v>-1.1250000000000211</v>
      </c>
      <c r="BJ104">
        <v>1.1293721028234689</v>
      </c>
      <c r="BK104">
        <v>1.500125010417563</v>
      </c>
      <c r="BL104">
        <v>0.77182034649801945</v>
      </c>
      <c r="BM104">
        <v>0.15481137456210639</v>
      </c>
      <c r="BN104">
        <v>2.5545069964204079</v>
      </c>
      <c r="BO104">
        <v>10.780580675868601</v>
      </c>
      <c r="BP104">
        <v>7.9412817758683003</v>
      </c>
      <c r="BQ104">
        <v>2.9720047764361812</v>
      </c>
    </row>
    <row r="105" spans="1:69" x14ac:dyDescent="0.25">
      <c r="A105" t="s">
        <v>3221</v>
      </c>
      <c r="B105" t="s">
        <v>3222</v>
      </c>
      <c r="C105" t="s">
        <v>3023</v>
      </c>
      <c r="D105" t="s">
        <v>3024</v>
      </c>
      <c r="E105">
        <v>-5.030041595936912</v>
      </c>
      <c r="F105">
        <v>3.779706383426753</v>
      </c>
      <c r="G105">
        <v>-0.55490425986952452</v>
      </c>
      <c r="H105">
        <v>4.3068217543595564</v>
      </c>
      <c r="I105">
        <v>9.1621458712944168</v>
      </c>
      <c r="J105">
        <v>2.2639425728973062</v>
      </c>
      <c r="K105">
        <v>8.3018358533229968</v>
      </c>
      <c r="L105">
        <v>-2.935310981006535</v>
      </c>
      <c r="M105">
        <v>1.3162118782735699</v>
      </c>
      <c r="N105">
        <v>1.4131812420197369</v>
      </c>
      <c r="O105">
        <v>1.3684934073667261</v>
      </c>
      <c r="P105">
        <v>9.5795832822563067</v>
      </c>
      <c r="Q105">
        <v>3.189693969179284</v>
      </c>
      <c r="R105">
        <v>22.738919478919531</v>
      </c>
      <c r="S105">
        <v>14.95069734397209</v>
      </c>
      <c r="T105">
        <v>16.77357032458163</v>
      </c>
      <c r="U105">
        <v>7.0381522782361854</v>
      </c>
      <c r="V105">
        <v>6.4919005811333657</v>
      </c>
      <c r="W105">
        <v>-2.673594983692912</v>
      </c>
      <c r="X105">
        <v>13.09392429981933</v>
      </c>
      <c r="Y105">
        <v>17.778305245657702</v>
      </c>
      <c r="Z105">
        <v>10.85833333299969</v>
      </c>
      <c r="AA105">
        <v>7.359242276050515</v>
      </c>
      <c r="AB105">
        <v>10.24366335265448</v>
      </c>
      <c r="AC105">
        <v>6.4020323910607493</v>
      </c>
      <c r="AD105">
        <v>10.64883901389282</v>
      </c>
      <c r="AE105">
        <v>3.2799266336662152</v>
      </c>
      <c r="AF105">
        <v>-11.449464612170519</v>
      </c>
      <c r="AG105">
        <v>4.1054680587506258</v>
      </c>
      <c r="AH105">
        <v>6.923905037112382</v>
      </c>
      <c r="AI105">
        <v>21.276032006783218</v>
      </c>
      <c r="AJ105">
        <v>15.41990736694925</v>
      </c>
      <c r="AK105">
        <v>19.358494654121991</v>
      </c>
      <c r="AL105">
        <v>29.70597150651724</v>
      </c>
      <c r="AM105">
        <v>39.331619537275252</v>
      </c>
      <c r="AN105">
        <v>27.60818517276012</v>
      </c>
      <c r="AO105">
        <v>20.583596214511239</v>
      </c>
      <c r="AP105">
        <v>20.55900733958331</v>
      </c>
      <c r="AQ105">
        <v>5.2690354704220086</v>
      </c>
      <c r="AR105">
        <v>3.0043942155073431</v>
      </c>
      <c r="AS105">
        <v>9.3332219756560306</v>
      </c>
      <c r="AT105">
        <v>13.31672224250995</v>
      </c>
      <c r="AU105">
        <v>7.0328740622460062</v>
      </c>
      <c r="AV105">
        <v>28.6995777887374</v>
      </c>
      <c r="AW105">
        <v>21.0318339277222</v>
      </c>
      <c r="AX105">
        <v>13.973008326384001</v>
      </c>
      <c r="AY105">
        <v>11.34521522442992</v>
      </c>
      <c r="AZ105">
        <v>6.5572277263806606</v>
      </c>
      <c r="BA105">
        <v>15.281774482377241</v>
      </c>
      <c r="BB105">
        <v>0.393886040173341</v>
      </c>
      <c r="BC105">
        <v>4.8273419007467258</v>
      </c>
      <c r="BD105">
        <v>6.3327948384904209</v>
      </c>
      <c r="BE105">
        <v>5.0180415542924628</v>
      </c>
      <c r="BF105">
        <v>4.7650240477914183</v>
      </c>
      <c r="BG105">
        <v>3.4381665995860069</v>
      </c>
      <c r="BH105">
        <v>6.7318406965899706</v>
      </c>
      <c r="BI105">
        <v>11.50290739426665</v>
      </c>
      <c r="BJ105">
        <v>10.6800887242584</v>
      </c>
      <c r="BK105">
        <v>12.4814111170435</v>
      </c>
      <c r="BL105">
        <v>18.70378256725062</v>
      </c>
      <c r="BM105">
        <v>22.796311364252769</v>
      </c>
      <c r="BN105">
        <v>16.841524019878481</v>
      </c>
      <c r="BO105">
        <v>33.983931947070019</v>
      </c>
      <c r="BP105">
        <v>36.813516278085352</v>
      </c>
      <c r="BQ105">
        <v>26.949056409198722</v>
      </c>
    </row>
    <row r="106" spans="1:69" x14ac:dyDescent="0.25">
      <c r="A106" t="s">
        <v>3223</v>
      </c>
      <c r="B106" t="s">
        <v>3224</v>
      </c>
      <c r="C106" t="s">
        <v>3023</v>
      </c>
      <c r="D106" t="s">
        <v>3024</v>
      </c>
      <c r="R106">
        <v>3.3879781417670181</v>
      </c>
      <c r="S106">
        <v>1.7970401682347441</v>
      </c>
      <c r="T106">
        <v>3.8421599179381891</v>
      </c>
      <c r="U106">
        <v>5.2283983330865986</v>
      </c>
      <c r="V106">
        <v>3.9088956956482228</v>
      </c>
      <c r="W106">
        <v>4.6871427485311186</v>
      </c>
      <c r="X106">
        <v>8.9764123470030324</v>
      </c>
      <c r="Y106">
        <v>9.2858574392133733</v>
      </c>
      <c r="Z106">
        <v>4.661413943947549</v>
      </c>
      <c r="AA106">
        <v>6.835805082595404</v>
      </c>
      <c r="AB106">
        <v>7.2798957327949072</v>
      </c>
      <c r="AC106">
        <v>8.4678548764601818</v>
      </c>
      <c r="AD106">
        <v>6.9423450187914684</v>
      </c>
      <c r="AE106">
        <v>5.2916617007109057</v>
      </c>
      <c r="AF106">
        <v>8.6743141773324286</v>
      </c>
      <c r="AG106">
        <v>15.723549070355601</v>
      </c>
      <c r="AH106">
        <v>17.149151997395979</v>
      </c>
      <c r="AI106">
        <v>28.369599653277671</v>
      </c>
      <c r="AJ106">
        <v>34.817542907270443</v>
      </c>
      <c r="AK106">
        <v>23.655720780655209</v>
      </c>
      <c r="AL106">
        <v>22.464234613380921</v>
      </c>
      <c r="AM106">
        <v>18.868074986928271</v>
      </c>
      <c r="AN106">
        <v>28.305468370665359</v>
      </c>
      <c r="AO106">
        <v>23.469030191918481</v>
      </c>
      <c r="AP106">
        <v>18.305074414379881</v>
      </c>
      <c r="AQ106">
        <v>14.153789654533981</v>
      </c>
      <c r="AR106">
        <v>9.9977440930336758</v>
      </c>
      <c r="AS106">
        <v>9.8036101690812529</v>
      </c>
      <c r="AT106">
        <v>9.1168091168091063</v>
      </c>
      <c r="AU106">
        <v>5.2654482158398537</v>
      </c>
      <c r="AV106">
        <v>4.6610169491525371</v>
      </c>
      <c r="AW106">
        <v>6.7443467956946872</v>
      </c>
      <c r="AX106">
        <v>3.561517113783518</v>
      </c>
      <c r="AY106">
        <v>3.9303260384100138</v>
      </c>
      <c r="AZ106">
        <v>7.9587451654490957</v>
      </c>
      <c r="BA106">
        <v>6.0425125388106009</v>
      </c>
      <c r="BB106">
        <v>4.2117117117117147</v>
      </c>
      <c r="BC106">
        <v>4.8555579569195597</v>
      </c>
      <c r="BD106">
        <v>3.9299209893507001</v>
      </c>
      <c r="BE106">
        <v>5.6521451708864614</v>
      </c>
      <c r="BF106">
        <v>1.7331998498310099</v>
      </c>
      <c r="BG106">
        <v>-0.22756627098821861</v>
      </c>
      <c r="BH106">
        <v>-6.1644680064167248E-2</v>
      </c>
      <c r="BI106">
        <v>0.39476930668639187</v>
      </c>
      <c r="BJ106">
        <v>2.3482428115015388</v>
      </c>
      <c r="BK106">
        <v>2.850247925946455</v>
      </c>
      <c r="BL106">
        <v>3.3385863538200811</v>
      </c>
      <c r="BM106">
        <v>3.3267438576673758</v>
      </c>
      <c r="BN106">
        <v>5.1109653438285534</v>
      </c>
      <c r="BO106">
        <v>14.60814394924334</v>
      </c>
      <c r="BP106">
        <v>17.12496596787366</v>
      </c>
      <c r="BQ106">
        <v>3.7037037037036891</v>
      </c>
    </row>
    <row r="107" spans="1:69" x14ac:dyDescent="0.25">
      <c r="A107" t="s">
        <v>3225</v>
      </c>
      <c r="B107" t="s">
        <v>3226</v>
      </c>
      <c r="C107" t="s">
        <v>3023</v>
      </c>
      <c r="D107" t="s">
        <v>3024</v>
      </c>
    </row>
    <row r="108" spans="1:69" x14ac:dyDescent="0.25">
      <c r="A108" t="s">
        <v>3227</v>
      </c>
      <c r="B108" t="s">
        <v>3228</v>
      </c>
      <c r="C108" t="s">
        <v>3023</v>
      </c>
      <c r="D108" t="s">
        <v>3024</v>
      </c>
    </row>
    <row r="109" spans="1:69" x14ac:dyDescent="0.25">
      <c r="A109" t="s">
        <v>3229</v>
      </c>
      <c r="B109" t="s">
        <v>3230</v>
      </c>
      <c r="C109" t="s">
        <v>3023</v>
      </c>
      <c r="D109" t="s">
        <v>3024</v>
      </c>
    </row>
    <row r="110" spans="1:69" x14ac:dyDescent="0.25">
      <c r="A110" t="s">
        <v>3231</v>
      </c>
      <c r="B110" t="s">
        <v>3232</v>
      </c>
      <c r="C110" t="s">
        <v>3023</v>
      </c>
      <c r="D110" t="s">
        <v>3024</v>
      </c>
    </row>
    <row r="111" spans="1:69" x14ac:dyDescent="0.25">
      <c r="A111" t="s">
        <v>3233</v>
      </c>
      <c r="B111" t="s">
        <v>3234</v>
      </c>
      <c r="C111" t="s">
        <v>3023</v>
      </c>
      <c r="D111" t="s">
        <v>3024</v>
      </c>
      <c r="E111">
        <v>39.590443686006743</v>
      </c>
      <c r="F111">
        <v>13.6919315403424</v>
      </c>
      <c r="G111">
        <v>131.39784946236529</v>
      </c>
      <c r="H111">
        <v>145.91078066914471</v>
      </c>
      <c r="I111">
        <v>108.9947089947092</v>
      </c>
      <c r="J111">
        <v>306.76311030741482</v>
      </c>
      <c r="K111">
        <v>1136.2541122076991</v>
      </c>
      <c r="L111">
        <v>106</v>
      </c>
      <c r="M111">
        <v>128.84304207119749</v>
      </c>
      <c r="N111">
        <v>15.479877331440401</v>
      </c>
      <c r="O111">
        <v>12.39946851304104</v>
      </c>
      <c r="P111">
        <v>4.2337458774160686</v>
      </c>
      <c r="Q111">
        <v>6.5217409185260369</v>
      </c>
      <c r="R111">
        <v>31.041882433918161</v>
      </c>
      <c r="S111">
        <v>40.49181160069498</v>
      </c>
      <c r="T111">
        <v>19.165691661053309</v>
      </c>
      <c r="U111">
        <v>19.828649992753419</v>
      </c>
      <c r="V111">
        <v>11.0520846464477</v>
      </c>
      <c r="W111">
        <v>8.1125942567737788</v>
      </c>
      <c r="X111">
        <v>16.23276953343083</v>
      </c>
      <c r="Y111">
        <v>18.035422125312991</v>
      </c>
      <c r="Z111">
        <v>12.265907587485311</v>
      </c>
      <c r="AA111">
        <v>9.4454253492114351</v>
      </c>
      <c r="AB111">
        <v>11.799738207665181</v>
      </c>
      <c r="AC111">
        <v>10.45503922314116</v>
      </c>
      <c r="AD111">
        <v>4.724535185433977</v>
      </c>
      <c r="AE111">
        <v>5.8226657673248434</v>
      </c>
      <c r="AF111">
        <v>9.2786540660283894</v>
      </c>
      <c r="AG111">
        <v>8.0453567153090706</v>
      </c>
      <c r="AH111">
        <v>6.4155407991636366</v>
      </c>
      <c r="AI111">
        <v>7.8191975650563474</v>
      </c>
      <c r="AJ111">
        <v>9.4190678434700406</v>
      </c>
      <c r="AK111">
        <v>7.5235100624267748</v>
      </c>
      <c r="AL111">
        <v>9.6719108926401027</v>
      </c>
      <c r="AM111">
        <v>8.5319982918914334</v>
      </c>
      <c r="AN111">
        <v>9.4203030057299575</v>
      </c>
      <c r="AO111">
        <v>7.9732809651334566</v>
      </c>
      <c r="AP111">
        <v>6.226151548872136</v>
      </c>
      <c r="AQ111">
        <v>58.451041351552583</v>
      </c>
      <c r="AR111">
        <v>20.477832442889241</v>
      </c>
      <c r="AS111">
        <v>3.6886203705668188</v>
      </c>
      <c r="AT111">
        <v>11.50011605508873</v>
      </c>
      <c r="AU111">
        <v>11.90012003384135</v>
      </c>
      <c r="AV111">
        <v>6.757312563335641</v>
      </c>
      <c r="AW111">
        <v>6.0640618913364754</v>
      </c>
      <c r="AX111">
        <v>10.45320018733474</v>
      </c>
      <c r="AY111">
        <v>13.108670985345951</v>
      </c>
      <c r="AZ111">
        <v>6.4065608796600477</v>
      </c>
      <c r="BA111">
        <v>10.22666632724826</v>
      </c>
      <c r="BB111">
        <v>4.3864131179207364</v>
      </c>
      <c r="BC111">
        <v>5.1342063901588544</v>
      </c>
      <c r="BD111">
        <v>5.3560484911258213</v>
      </c>
      <c r="BE111">
        <v>4.2795142691943049</v>
      </c>
      <c r="BF111">
        <v>6.4124945790039112</v>
      </c>
      <c r="BG111">
        <v>6.3949288239655928</v>
      </c>
      <c r="BH111">
        <v>6.3631206119664627</v>
      </c>
      <c r="BI111">
        <v>3.5258045281545121</v>
      </c>
      <c r="BJ111">
        <v>3.808798576919489</v>
      </c>
      <c r="BK111">
        <v>3.1983475592499611</v>
      </c>
      <c r="BL111">
        <v>3.0305846094166058</v>
      </c>
      <c r="BM111">
        <v>1.919835272707928</v>
      </c>
      <c r="BN111">
        <v>1.5600788298333439</v>
      </c>
      <c r="BO111">
        <v>4.2094646371478417</v>
      </c>
      <c r="BP111">
        <v>3.6693865485976112</v>
      </c>
      <c r="BQ111">
        <v>2.181512736151888</v>
      </c>
    </row>
    <row r="112" spans="1:69" x14ac:dyDescent="0.25">
      <c r="A112" t="s">
        <v>3235</v>
      </c>
      <c r="B112" t="s">
        <v>3236</v>
      </c>
      <c r="C112" t="s">
        <v>3023</v>
      </c>
      <c r="D112" t="s">
        <v>3024</v>
      </c>
    </row>
    <row r="113" spans="1:70" x14ac:dyDescent="0.25">
      <c r="A113" t="s">
        <v>3237</v>
      </c>
      <c r="B113" t="s">
        <v>3238</v>
      </c>
      <c r="C113" t="s">
        <v>3023</v>
      </c>
      <c r="D113" t="s">
        <v>3024</v>
      </c>
    </row>
    <row r="114" spans="1:70" s="114" customFormat="1" x14ac:dyDescent="0.25">
      <c r="A114" s="79" t="s">
        <v>2942</v>
      </c>
      <c r="B114" s="79" t="s">
        <v>3239</v>
      </c>
      <c r="C114" s="79" t="s">
        <v>3023</v>
      </c>
      <c r="D114" s="79" t="s">
        <v>3024</v>
      </c>
      <c r="E114" s="79">
        <v>1.7798778467738241</v>
      </c>
      <c r="F114" s="79">
        <v>1.695212939144328</v>
      </c>
      <c r="G114" s="79">
        <v>3.6322149710698741</v>
      </c>
      <c r="H114" s="79">
        <v>2.94616135685229</v>
      </c>
      <c r="I114" s="79">
        <v>13.355261150815281</v>
      </c>
      <c r="J114" s="79">
        <v>9.474758591706987</v>
      </c>
      <c r="K114" s="79">
        <v>10.80184834893417</v>
      </c>
      <c r="L114" s="79">
        <v>13.062202477796991</v>
      </c>
      <c r="M114" s="79">
        <v>3.2374124262750219</v>
      </c>
      <c r="N114" s="79">
        <v>-0.58413661046634924</v>
      </c>
      <c r="O114" s="79">
        <v>5.0922616199755169</v>
      </c>
      <c r="P114" s="79">
        <v>3.0799386840653709</v>
      </c>
      <c r="Q114" s="79">
        <v>6.4420974615824322</v>
      </c>
      <c r="R114" s="79">
        <v>16.940815979173571</v>
      </c>
      <c r="S114" s="79">
        <v>28.598734077509029</v>
      </c>
      <c r="T114" s="79">
        <v>5.748430297674366</v>
      </c>
      <c r="U114" s="79">
        <v>-7.6339476339288188</v>
      </c>
      <c r="V114" s="79">
        <v>8.3074700917116573</v>
      </c>
      <c r="W114" s="79">
        <v>2.5230487569517979</v>
      </c>
      <c r="X114" s="79">
        <v>6.2756833676233494</v>
      </c>
      <c r="Y114" s="79">
        <v>11.34607347950951</v>
      </c>
      <c r="Z114" s="79">
        <v>13.11254689764195</v>
      </c>
      <c r="AA114" s="79">
        <v>7.8907427937748746</v>
      </c>
      <c r="AB114" s="79">
        <v>11.868081298673371</v>
      </c>
      <c r="AC114" s="79">
        <v>8.3189071186007997</v>
      </c>
      <c r="AD114" s="79">
        <v>5.5564242323655382</v>
      </c>
      <c r="AE114" s="79">
        <v>8.7297207270258088</v>
      </c>
      <c r="AF114" s="79">
        <v>8.8011258125183254</v>
      </c>
      <c r="AG114" s="79">
        <v>9.3834718618533515</v>
      </c>
      <c r="AH114" s="79">
        <v>7.074280029423007</v>
      </c>
      <c r="AI114" s="79">
        <v>8.9712325027324979</v>
      </c>
      <c r="AJ114" s="79">
        <v>13.87024617736831</v>
      </c>
      <c r="AK114" s="79">
        <v>11.787817041813449</v>
      </c>
      <c r="AL114" s="79">
        <v>6.3268904877986669</v>
      </c>
      <c r="AM114" s="79">
        <v>10.247935555611919</v>
      </c>
      <c r="AN114" s="79">
        <v>10.224886163754441</v>
      </c>
      <c r="AO114" s="79">
        <v>8.977152338264526</v>
      </c>
      <c r="AP114" s="79">
        <v>7.1642521146272369</v>
      </c>
      <c r="AQ114" s="79">
        <v>13.23083897679772</v>
      </c>
      <c r="AR114" s="79">
        <v>4.6698203803759357</v>
      </c>
      <c r="AS114" s="79">
        <v>4.0094359104519022</v>
      </c>
      <c r="AT114" s="79">
        <v>3.7792931223563722</v>
      </c>
      <c r="AU114" s="79">
        <v>4.2971520392956339</v>
      </c>
      <c r="AV114" s="79">
        <v>3.805858995288506</v>
      </c>
      <c r="AW114" s="79">
        <v>3.767251734775154</v>
      </c>
      <c r="AX114" s="79">
        <v>4.2463436203192186</v>
      </c>
      <c r="AY114" s="79">
        <v>5.7965233756163377</v>
      </c>
      <c r="AZ114" s="79">
        <v>6.3728813559323099</v>
      </c>
      <c r="BA114" s="79">
        <v>8.3492670490758147</v>
      </c>
      <c r="BB114" s="79">
        <v>10.882352941176441</v>
      </c>
      <c r="BC114" s="79">
        <v>11.989389920424401</v>
      </c>
      <c r="BD114" s="79">
        <v>8.9117933648337111</v>
      </c>
      <c r="BE114" s="79">
        <v>9.4789969141980102</v>
      </c>
      <c r="BF114" s="79">
        <v>10.017878474610241</v>
      </c>
      <c r="BG114" s="79">
        <v>6.6656567186789939</v>
      </c>
      <c r="BH114" s="79">
        <v>4.906973441272565</v>
      </c>
      <c r="BI114" s="79">
        <v>4.9482163406214061</v>
      </c>
      <c r="BJ114" s="79">
        <v>3.3281733746129771</v>
      </c>
      <c r="BK114" s="79">
        <v>3.9388264669162978</v>
      </c>
      <c r="BL114" s="79">
        <v>3.7295057353912942</v>
      </c>
      <c r="BM114" s="79">
        <v>6.623436776285355</v>
      </c>
      <c r="BN114" s="79">
        <v>5.1314074717636888</v>
      </c>
      <c r="BO114" s="79">
        <v>6.6990341407985179</v>
      </c>
      <c r="BP114" s="79">
        <v>5.649143189079247</v>
      </c>
      <c r="BQ114" s="79">
        <v>4.9530355097365568</v>
      </c>
      <c r="BR114" s="79"/>
    </row>
    <row r="115" spans="1:70" x14ac:dyDescent="0.25">
      <c r="A115" t="s">
        <v>3240</v>
      </c>
      <c r="B115" t="s">
        <v>3241</v>
      </c>
      <c r="C115" t="s">
        <v>3023</v>
      </c>
      <c r="D115" t="s">
        <v>3024</v>
      </c>
    </row>
    <row r="116" spans="1:70" x14ac:dyDescent="0.25">
      <c r="A116" t="s">
        <v>3242</v>
      </c>
      <c r="B116" t="s">
        <v>3243</v>
      </c>
      <c r="C116" t="s">
        <v>3023</v>
      </c>
      <c r="D116" t="s">
        <v>3024</v>
      </c>
      <c r="E116">
        <v>0.45083726943177638</v>
      </c>
      <c r="F116">
        <v>2.7569993586355039</v>
      </c>
      <c r="G116">
        <v>4.263727121490855</v>
      </c>
      <c r="H116">
        <v>2.4536205866892802</v>
      </c>
      <c r="I116">
        <v>6.7172897192629488</v>
      </c>
      <c r="J116">
        <v>4.9881235154394599</v>
      </c>
      <c r="K116">
        <v>3.0542986414027311</v>
      </c>
      <c r="L116">
        <v>3.1833150395518</v>
      </c>
      <c r="M116">
        <v>4.6808510638298966</v>
      </c>
      <c r="N116">
        <v>7.4186991859755409</v>
      </c>
      <c r="O116">
        <v>8.2071901609102653</v>
      </c>
      <c r="P116">
        <v>8.9617486341766917</v>
      </c>
      <c r="Q116">
        <v>8.6058174530106619</v>
      </c>
      <c r="R116">
        <v>11.41485038732961</v>
      </c>
      <c r="S116">
        <v>16.976127321204789</v>
      </c>
      <c r="T116">
        <v>20.875850340195161</v>
      </c>
      <c r="U116">
        <v>17.98569586133863</v>
      </c>
      <c r="V116">
        <v>13.47225529379477</v>
      </c>
      <c r="W116">
        <v>7.7111121462186931</v>
      </c>
      <c r="X116">
        <v>13.295468824828109</v>
      </c>
      <c r="Y116">
        <v>18.154462255797199</v>
      </c>
      <c r="Z116">
        <v>20.373511070193359</v>
      </c>
      <c r="AA116">
        <v>17.14712620370916</v>
      </c>
      <c r="AB116">
        <v>10.44762553485937</v>
      </c>
      <c r="AC116">
        <v>8.6511105379638575</v>
      </c>
      <c r="AD116">
        <v>5.3954862017035188</v>
      </c>
      <c r="AE116">
        <v>3.8270416654265929</v>
      </c>
      <c r="AF116">
        <v>3.1594103483501379</v>
      </c>
      <c r="AG116">
        <v>2.1345698910710338</v>
      </c>
      <c r="AH116">
        <v>4.0890538815354427</v>
      </c>
      <c r="AI116">
        <v>3.3173288668011831</v>
      </c>
      <c r="AJ116">
        <v>3.2108103714237779</v>
      </c>
      <c r="AK116">
        <v>3.0699985383590369</v>
      </c>
      <c r="AL116">
        <v>1.469415224114222</v>
      </c>
      <c r="AM116">
        <v>2.3092019261095089</v>
      </c>
      <c r="AN116">
        <v>2.524864467808019</v>
      </c>
      <c r="AO116">
        <v>1.755744696074194</v>
      </c>
      <c r="AP116">
        <v>1.5418020226136979</v>
      </c>
      <c r="AQ116">
        <v>2.4076809453471499</v>
      </c>
      <c r="AR116">
        <v>1.629886052214069</v>
      </c>
      <c r="AS116">
        <v>5.5776326994038703</v>
      </c>
      <c r="AT116">
        <v>4.8528027960747684</v>
      </c>
      <c r="AU116">
        <v>4.6282051282051517</v>
      </c>
      <c r="AV116">
        <v>3.4922190907976498</v>
      </c>
      <c r="AW116">
        <v>2.1785460573052271</v>
      </c>
      <c r="AX116">
        <v>2.4565469293163869</v>
      </c>
      <c r="AY116">
        <v>3.9357611400135371</v>
      </c>
      <c r="AZ116">
        <v>4.8857453754080176</v>
      </c>
      <c r="BA116">
        <v>4.0356883494139097</v>
      </c>
      <c r="BB116">
        <v>-4.4475468687674642</v>
      </c>
      <c r="BC116">
        <v>-0.91838864537677389</v>
      </c>
      <c r="BD116">
        <v>2.5489783020855001</v>
      </c>
      <c r="BE116">
        <v>1.694741166803664</v>
      </c>
      <c r="BF116">
        <v>0.51509948490057322</v>
      </c>
      <c r="BG116">
        <v>0.19091639871374491</v>
      </c>
      <c r="BH116">
        <v>-0.33095978337178761</v>
      </c>
      <c r="BI116">
        <v>2.012477359632367E-2</v>
      </c>
      <c r="BJ116">
        <v>0.3621730382293778</v>
      </c>
      <c r="BK116">
        <v>0.47113071371291559</v>
      </c>
      <c r="BL116">
        <v>0.9378429611892739</v>
      </c>
      <c r="BM116">
        <v>-0.3261836512800329</v>
      </c>
      <c r="BN116">
        <v>2.340341134470437</v>
      </c>
      <c r="BO116">
        <v>7.8294573643410468</v>
      </c>
      <c r="BP116">
        <v>6.2994248741912466</v>
      </c>
      <c r="BQ116">
        <v>2.1134499957731672</v>
      </c>
    </row>
    <row r="117" spans="1:70" x14ac:dyDescent="0.25">
      <c r="A117" t="s">
        <v>3244</v>
      </c>
      <c r="B117" t="s">
        <v>3245</v>
      </c>
      <c r="C117" t="s">
        <v>3023</v>
      </c>
      <c r="D117" t="s">
        <v>3024</v>
      </c>
      <c r="E117">
        <v>9.8224108129786725</v>
      </c>
      <c r="F117">
        <v>3.1625643958574492</v>
      </c>
      <c r="G117">
        <v>0.72132057165633712</v>
      </c>
      <c r="H117">
        <v>0.37184960722166582</v>
      </c>
      <c r="I117">
        <v>3.8144895722304271</v>
      </c>
      <c r="J117">
        <v>2.154374835209675</v>
      </c>
      <c r="K117">
        <v>-0.38814853215443179</v>
      </c>
      <c r="L117">
        <v>1.5976100796435391</v>
      </c>
      <c r="M117">
        <v>0.69036052199623255</v>
      </c>
      <c r="N117">
        <v>3.5931945155128111</v>
      </c>
      <c r="O117">
        <v>1.6668709397006849</v>
      </c>
      <c r="P117">
        <v>4.195298372654225</v>
      </c>
      <c r="Q117">
        <v>6.3982413512887124</v>
      </c>
      <c r="R117">
        <v>9.8194867331876186</v>
      </c>
      <c r="S117">
        <v>14.24893553825674</v>
      </c>
      <c r="T117">
        <v>12.879181833834069</v>
      </c>
      <c r="U117">
        <v>11.25614250621115</v>
      </c>
      <c r="V117">
        <v>27.287784679309318</v>
      </c>
      <c r="W117">
        <v>11.72196920412121</v>
      </c>
      <c r="X117">
        <v>10.487236727348551</v>
      </c>
      <c r="Y117">
        <v>20.643914437379809</v>
      </c>
      <c r="Z117">
        <v>24.203589762448601</v>
      </c>
      <c r="AA117">
        <v>18.689725926956381</v>
      </c>
      <c r="AB117">
        <v>19.74018917786108</v>
      </c>
      <c r="AC117">
        <v>12.54021945388684</v>
      </c>
      <c r="AD117">
        <v>4.3893409574154143</v>
      </c>
      <c r="AE117">
        <v>18.42900302114737</v>
      </c>
      <c r="AF117">
        <v>28.571428571429209</v>
      </c>
      <c r="AG117">
        <v>28.670634920634459</v>
      </c>
      <c r="AH117">
        <v>22.349653045489649</v>
      </c>
      <c r="AI117">
        <v>7.6276749376393447</v>
      </c>
      <c r="AJ117">
        <v>17.128567943401169</v>
      </c>
      <c r="AK117">
        <v>25.807722616233161</v>
      </c>
      <c r="AL117">
        <v>21.202630754776081</v>
      </c>
      <c r="AM117">
        <v>31.447028423772799</v>
      </c>
      <c r="AN117">
        <v>49.655985846274632</v>
      </c>
      <c r="AO117">
        <v>28.937344016813661</v>
      </c>
      <c r="AP117">
        <v>17.349225753870769</v>
      </c>
      <c r="AQ117">
        <v>17.86613421303975</v>
      </c>
      <c r="AR117">
        <v>20.070707814686578</v>
      </c>
      <c r="AS117">
        <v>14.47675131885666</v>
      </c>
      <c r="AT117">
        <v>11.27424713321167</v>
      </c>
      <c r="AU117">
        <v>14.33593373784039</v>
      </c>
      <c r="AV117">
        <v>16.468011624479178</v>
      </c>
      <c r="AW117">
        <v>14.76150869706724</v>
      </c>
      <c r="AX117">
        <v>13.43311800850802</v>
      </c>
      <c r="AY117">
        <v>10.01589825119239</v>
      </c>
      <c r="AZ117">
        <v>17.34104046242766</v>
      </c>
      <c r="BA117">
        <v>25.410509031198721</v>
      </c>
      <c r="BB117">
        <v>13.55155482815062</v>
      </c>
      <c r="BC117">
        <v>10.089362928797909</v>
      </c>
      <c r="BD117">
        <v>26.293385673860801</v>
      </c>
      <c r="BE117">
        <v>27.256812724290839</v>
      </c>
      <c r="BF117">
        <v>36.603035519102932</v>
      </c>
      <c r="BG117">
        <v>16.60655323574489</v>
      </c>
      <c r="BH117">
        <v>12.48468156115333</v>
      </c>
      <c r="BI117">
        <v>7.2454254895297892</v>
      </c>
      <c r="BJ117">
        <v>8.0449243766027756</v>
      </c>
      <c r="BK117">
        <v>18.014118337187419</v>
      </c>
      <c r="BL117">
        <v>39.90734556977835</v>
      </c>
      <c r="BM117">
        <v>30.594139038729509</v>
      </c>
      <c r="BN117">
        <v>43.389016268151437</v>
      </c>
      <c r="BO117">
        <v>43.488464174217867</v>
      </c>
      <c r="BP117">
        <v>44.57918575727971</v>
      </c>
      <c r="BQ117">
        <v>32.455871402916991</v>
      </c>
    </row>
    <row r="118" spans="1:70" x14ac:dyDescent="0.25">
      <c r="A118" t="s">
        <v>3246</v>
      </c>
      <c r="B118" t="s">
        <v>3247</v>
      </c>
      <c r="C118" t="s">
        <v>3023</v>
      </c>
      <c r="D118" t="s">
        <v>3024</v>
      </c>
      <c r="E118">
        <v>3.4782379040959919</v>
      </c>
      <c r="F118">
        <v>0.9162604318466876</v>
      </c>
      <c r="G118">
        <v>1.2923621654152071</v>
      </c>
      <c r="H118">
        <v>3.9549574292974201</v>
      </c>
      <c r="I118">
        <v>-9.0136519671747836E-2</v>
      </c>
      <c r="J118">
        <v>-0.45558086585781038</v>
      </c>
      <c r="K118">
        <v>1.983218917121641</v>
      </c>
      <c r="L118">
        <v>3.290949887816724</v>
      </c>
      <c r="M118">
        <v>2.1964759828679932</v>
      </c>
      <c r="N118">
        <v>5.7392536613673313</v>
      </c>
      <c r="O118">
        <v>4.3555952647056362</v>
      </c>
      <c r="P118">
        <v>3.5958904107603722</v>
      </c>
      <c r="Q118">
        <v>5.1859504132551768</v>
      </c>
      <c r="R118">
        <v>4.8909840899257127</v>
      </c>
      <c r="S118">
        <v>7.6999999997692603</v>
      </c>
      <c r="T118">
        <v>9.5171773440553586</v>
      </c>
      <c r="U118">
        <v>12.823230182813431</v>
      </c>
      <c r="V118">
        <v>9.1677625399551221</v>
      </c>
      <c r="W118">
        <v>4.6119428668201792</v>
      </c>
      <c r="AJ118">
        <v>180.95238095238071</v>
      </c>
      <c r="AK118">
        <v>83.615819209039003</v>
      </c>
      <c r="AL118">
        <v>207.69230769230879</v>
      </c>
      <c r="AM118">
        <v>448.49999999999892</v>
      </c>
      <c r="AN118">
        <v>387.31084776663818</v>
      </c>
      <c r="AO118">
        <v>-16.117325751057191</v>
      </c>
      <c r="AP118">
        <v>23.063199678872738</v>
      </c>
      <c r="AQ118">
        <v>14.768773557552761</v>
      </c>
      <c r="AR118">
        <v>12.577762339343611</v>
      </c>
      <c r="AS118">
        <v>4.9789621318373509</v>
      </c>
      <c r="AT118">
        <v>16.374081496326241</v>
      </c>
      <c r="AU118">
        <v>19.316694601978959</v>
      </c>
      <c r="AV118">
        <v>33.616210599238293</v>
      </c>
      <c r="AW118">
        <v>26.96190681932719</v>
      </c>
      <c r="AX118">
        <v>36.959480920187112</v>
      </c>
      <c r="AY118">
        <v>53.230962911427973</v>
      </c>
      <c r="AZ118">
        <v>-10.06749257689779</v>
      </c>
      <c r="BA118">
        <v>12.66285282692281</v>
      </c>
      <c r="BB118">
        <v>6.873615472125497</v>
      </c>
      <c r="BC118">
        <v>2.877747252747596</v>
      </c>
      <c r="BD118">
        <v>5.8014553708529997</v>
      </c>
      <c r="BE118">
        <v>6.0890964159504257</v>
      </c>
      <c r="BF118">
        <v>1.879498007494689</v>
      </c>
      <c r="BG118">
        <v>2.2359740790467928</v>
      </c>
      <c r="BH118">
        <v>1.3933302878030871</v>
      </c>
      <c r="BI118">
        <v>0.55652139715551108</v>
      </c>
      <c r="BJ118">
        <v>0.18405889884768989</v>
      </c>
      <c r="BK118">
        <v>0.36744148893684919</v>
      </c>
      <c r="BL118">
        <v>-0.19896538002392819</v>
      </c>
      <c r="BM118">
        <v>0.5741626794257948</v>
      </c>
      <c r="BN118">
        <v>6.0418648905804391</v>
      </c>
      <c r="BO118">
        <v>4.9947659638104351</v>
      </c>
      <c r="BP118">
        <v>4.3583535108958573</v>
      </c>
      <c r="BQ118">
        <v>-12.29698375870071</v>
      </c>
    </row>
    <row r="119" spans="1:70" x14ac:dyDescent="0.25">
      <c r="A119" t="s">
        <v>3248</v>
      </c>
      <c r="B119" t="s">
        <v>3249</v>
      </c>
      <c r="C119" t="s">
        <v>3023</v>
      </c>
      <c r="D119" t="s">
        <v>3024</v>
      </c>
      <c r="E119">
        <v>1.988397239020341</v>
      </c>
      <c r="F119">
        <v>4.711614996793533</v>
      </c>
      <c r="G119">
        <v>11.016292445576971</v>
      </c>
      <c r="H119">
        <v>12.928023075590289</v>
      </c>
      <c r="I119">
        <v>19.245054357257938</v>
      </c>
      <c r="J119">
        <v>7.3170694278334638</v>
      </c>
      <c r="K119">
        <v>10.68664303423869</v>
      </c>
      <c r="L119">
        <v>3.3202186782153218</v>
      </c>
      <c r="M119">
        <v>15.231798403425159</v>
      </c>
      <c r="N119">
        <v>21.763294919345348</v>
      </c>
      <c r="O119">
        <v>13.372475149184639</v>
      </c>
      <c r="P119">
        <v>6.7318745298098754</v>
      </c>
      <c r="Q119">
        <v>9.8113239127997218</v>
      </c>
      <c r="R119">
        <v>21.35493091682979</v>
      </c>
      <c r="S119">
        <v>42.51618195852916</v>
      </c>
      <c r="T119">
        <v>49.361338233405313</v>
      </c>
      <c r="U119">
        <v>32.035110223608577</v>
      </c>
      <c r="V119">
        <v>30.316741272592822</v>
      </c>
      <c r="W119">
        <v>43.749998285360611</v>
      </c>
      <c r="X119">
        <v>44.444455804374421</v>
      </c>
      <c r="Y119">
        <v>58.528426089364622</v>
      </c>
      <c r="Z119">
        <v>51.793241601010813</v>
      </c>
      <c r="AA119">
        <v>50.243226389676103</v>
      </c>
      <c r="AB119">
        <v>83.950046193703372</v>
      </c>
      <c r="AC119">
        <v>30.85239707709092</v>
      </c>
      <c r="AD119">
        <v>31.994629024070271</v>
      </c>
      <c r="AE119">
        <v>22.12840118766459</v>
      </c>
      <c r="AF119">
        <v>18.29776822323041</v>
      </c>
      <c r="AG119">
        <v>25.725509085284191</v>
      </c>
      <c r="AH119">
        <v>20.758195033448491</v>
      </c>
      <c r="AI119">
        <v>15.510721994253039</v>
      </c>
      <c r="AJ119">
        <v>6.8087788794363382</v>
      </c>
      <c r="AK119">
        <v>3.9477117682403118</v>
      </c>
      <c r="AL119">
        <v>4.0428529107694651</v>
      </c>
      <c r="AM119">
        <v>1.552656274957769</v>
      </c>
      <c r="AN119">
        <v>1.6512315011665779</v>
      </c>
      <c r="AO119">
        <v>2.2604189826729719</v>
      </c>
      <c r="AP119">
        <v>1.815430802822416</v>
      </c>
      <c r="AQ119">
        <v>1.659241709534274</v>
      </c>
      <c r="AR119">
        <v>3.231832609064667</v>
      </c>
      <c r="AS119">
        <v>5.1364712324515054</v>
      </c>
      <c r="AT119">
        <v>6.4050855038686842</v>
      </c>
      <c r="AU119">
        <v>5.1970223021662791</v>
      </c>
      <c r="AV119">
        <v>2.0556632975374241</v>
      </c>
      <c r="AW119">
        <v>3.1581932429846389</v>
      </c>
      <c r="AX119">
        <v>3.9870478280659261</v>
      </c>
      <c r="AY119">
        <v>6.687079061366612</v>
      </c>
      <c r="AZ119">
        <v>5.0515573649214573</v>
      </c>
      <c r="BA119">
        <v>12.69439427758776</v>
      </c>
      <c r="BB119">
        <v>12.003129846174289</v>
      </c>
      <c r="BC119">
        <v>5.3967311316747741</v>
      </c>
      <c r="BD119">
        <v>4.0010266434312003</v>
      </c>
      <c r="BE119">
        <v>5.1858998875069773</v>
      </c>
      <c r="BF119">
        <v>3.8722792374824948</v>
      </c>
      <c r="BG119">
        <v>2.0446148153933339</v>
      </c>
      <c r="BH119">
        <v>1.633055581813263</v>
      </c>
      <c r="BI119">
        <v>1.696927619977507</v>
      </c>
      <c r="BJ119">
        <v>1.760415591805965</v>
      </c>
      <c r="BK119">
        <v>2.6829176826739198</v>
      </c>
      <c r="BL119">
        <v>3.0139717915605289</v>
      </c>
      <c r="BM119">
        <v>2.8479240151866478</v>
      </c>
      <c r="BN119">
        <v>4.4442397018973878</v>
      </c>
      <c r="BO119">
        <v>8.3087551155892019</v>
      </c>
      <c r="BP119">
        <v>8.7363029993729828</v>
      </c>
      <c r="BQ119">
        <v>5.8568384997006557</v>
      </c>
    </row>
    <row r="120" spans="1:70" x14ac:dyDescent="0.25">
      <c r="A120" t="s">
        <v>3250</v>
      </c>
      <c r="B120" t="s">
        <v>3251</v>
      </c>
      <c r="C120" t="s">
        <v>3023</v>
      </c>
      <c r="D120" t="s">
        <v>3024</v>
      </c>
      <c r="E120">
        <v>2.2281124206708358</v>
      </c>
      <c r="F120">
        <v>6.7898234044024397</v>
      </c>
      <c r="G120">
        <v>9.4081940682655514</v>
      </c>
      <c r="H120">
        <v>6.5811373646405702</v>
      </c>
      <c r="I120">
        <v>5.1727504232881527</v>
      </c>
      <c r="J120">
        <v>7.7083332642049998</v>
      </c>
      <c r="K120">
        <v>7.9303675444844952</v>
      </c>
      <c r="L120">
        <v>1.7060931600593201</v>
      </c>
      <c r="M120">
        <v>2.079221858136254</v>
      </c>
      <c r="N120">
        <v>2.4580542561779941</v>
      </c>
      <c r="O120">
        <v>6.1107420359874007</v>
      </c>
      <c r="P120">
        <v>11.97257188640258</v>
      </c>
      <c r="Q120">
        <v>12.88146308464591</v>
      </c>
      <c r="R120">
        <v>20.03237781107055</v>
      </c>
      <c r="S120">
        <v>39.679972457954669</v>
      </c>
      <c r="T120">
        <v>39.306731955589768</v>
      </c>
      <c r="U120">
        <v>31.310866404514481</v>
      </c>
      <c r="V120">
        <v>34.616715693275559</v>
      </c>
      <c r="W120">
        <v>50.55094595791131</v>
      </c>
      <c r="X120">
        <v>78.310011124361381</v>
      </c>
      <c r="Y120">
        <v>131.02501228600639</v>
      </c>
      <c r="Z120">
        <v>116.799989401855</v>
      </c>
      <c r="AA120">
        <v>120.3644098122526</v>
      </c>
      <c r="AB120">
        <v>145.95150271429651</v>
      </c>
      <c r="AC120">
        <v>373.21563136284732</v>
      </c>
      <c r="AD120">
        <v>307.16191464394069</v>
      </c>
      <c r="AE120">
        <v>47.644927536231911</v>
      </c>
      <c r="AF120">
        <v>19.079754601227009</v>
      </c>
      <c r="AG120">
        <v>16.383307573415781</v>
      </c>
      <c r="AH120">
        <v>20.318725099601579</v>
      </c>
      <c r="AI120">
        <v>17.25533480500361</v>
      </c>
      <c r="AJ120">
        <v>19.10887982428617</v>
      </c>
      <c r="AK120">
        <v>12.065331928345691</v>
      </c>
      <c r="AL120">
        <v>10.883874000940329</v>
      </c>
      <c r="AM120">
        <v>12.253550985796</v>
      </c>
      <c r="AN120">
        <v>9.9338999055712591</v>
      </c>
      <c r="AO120">
        <v>11.45851228311294</v>
      </c>
      <c r="AP120">
        <v>8.9549938347718356</v>
      </c>
      <c r="AQ120">
        <v>5.4887537133965578</v>
      </c>
      <c r="AR120">
        <v>5.189754592999825</v>
      </c>
      <c r="AS120">
        <v>1.032636409994893</v>
      </c>
      <c r="AT120">
        <v>1.123028391167207</v>
      </c>
      <c r="AU120">
        <v>5.8023458946842927</v>
      </c>
      <c r="AV120">
        <v>0.70763061681807027</v>
      </c>
      <c r="AW120">
        <v>-0.42159503454741609</v>
      </c>
      <c r="AX120">
        <v>1.3407032811949211</v>
      </c>
      <c r="AY120">
        <v>2.0540791458744292</v>
      </c>
      <c r="AZ120">
        <v>0.46622697293606541</v>
      </c>
      <c r="BA120">
        <v>4.5274476513865132</v>
      </c>
      <c r="BB120">
        <v>3.367623172712499</v>
      </c>
      <c r="BC120">
        <v>2.7027027027027342</v>
      </c>
      <c r="BD120">
        <v>3.4883720930232309</v>
      </c>
      <c r="BE120">
        <v>1.675537157500518</v>
      </c>
      <c r="BF120">
        <v>1.5897634742147571</v>
      </c>
      <c r="BG120">
        <v>0.46755725190850311</v>
      </c>
      <c r="BH120">
        <v>-0.61734257764276457</v>
      </c>
      <c r="BI120">
        <v>-0.53516819571869545</v>
      </c>
      <c r="BJ120">
        <v>0.2498078401230083</v>
      </c>
      <c r="BK120">
        <v>0.80506037952852638</v>
      </c>
      <c r="BL120">
        <v>0.81764594029279369</v>
      </c>
      <c r="BM120">
        <v>-0.5752546208977557</v>
      </c>
      <c r="BN120">
        <v>1.4796547472256141</v>
      </c>
      <c r="BO120">
        <v>4.4116272548837099</v>
      </c>
      <c r="BP120">
        <v>4.2252260316891768</v>
      </c>
      <c r="BQ120">
        <v>3.0748088980502462</v>
      </c>
    </row>
    <row r="121" spans="1:70" x14ac:dyDescent="0.25">
      <c r="A121" t="s">
        <v>3252</v>
      </c>
      <c r="B121" t="s">
        <v>3253</v>
      </c>
      <c r="C121" t="s">
        <v>3023</v>
      </c>
      <c r="D121" t="s">
        <v>3024</v>
      </c>
      <c r="E121">
        <v>2.3501614137705031</v>
      </c>
      <c r="F121">
        <v>2.0506973127869772</v>
      </c>
      <c r="G121">
        <v>4.6911436074047064</v>
      </c>
      <c r="H121">
        <v>7.4547182253910318</v>
      </c>
      <c r="I121">
        <v>5.9123225321858737</v>
      </c>
      <c r="J121">
        <v>4.5192683074345812</v>
      </c>
      <c r="K121">
        <v>2.346588934133182</v>
      </c>
      <c r="L121">
        <v>3.7333383207382189</v>
      </c>
      <c r="M121">
        <v>1.27731335390797</v>
      </c>
      <c r="N121">
        <v>2.6572527338697189</v>
      </c>
      <c r="O121">
        <v>4.9683198732933507</v>
      </c>
      <c r="P121">
        <v>4.7916643833378627</v>
      </c>
      <c r="Q121">
        <v>5.7495039373000747</v>
      </c>
      <c r="R121">
        <v>10.79861745476016</v>
      </c>
      <c r="S121">
        <v>19.159769585469871</v>
      </c>
      <c r="T121">
        <v>16.950502566830639</v>
      </c>
      <c r="U121">
        <v>16.61416647257882</v>
      </c>
      <c r="V121">
        <v>17.130048786649951</v>
      </c>
      <c r="W121">
        <v>12.094013842507421</v>
      </c>
      <c r="X121">
        <v>14.79857356614842</v>
      </c>
      <c r="Y121">
        <v>21.064168277074469</v>
      </c>
      <c r="Z121">
        <v>17.969298751967219</v>
      </c>
      <c r="AA121">
        <v>16.480414620221431</v>
      </c>
      <c r="AB121">
        <v>14.64657667487695</v>
      </c>
      <c r="AC121">
        <v>10.79449600768111</v>
      </c>
      <c r="AD121">
        <v>9.2059914425311788</v>
      </c>
      <c r="AE121">
        <v>5.8235469186201678</v>
      </c>
      <c r="AF121">
        <v>4.7472849038978913</v>
      </c>
      <c r="AG121">
        <v>5.0582474766711947</v>
      </c>
      <c r="AH121">
        <v>6.2598313795697678</v>
      </c>
      <c r="AI121">
        <v>6.4566090614639959</v>
      </c>
      <c r="AJ121">
        <v>6.2499992979029111</v>
      </c>
      <c r="AK121">
        <v>5.2705899859293011</v>
      </c>
      <c r="AL121">
        <v>4.6267346833129803</v>
      </c>
      <c r="AM121">
        <v>4.0518421806571618</v>
      </c>
      <c r="AN121">
        <v>5.2354225804430126</v>
      </c>
      <c r="AO121">
        <v>4.0069766898104007</v>
      </c>
      <c r="AP121">
        <v>2.0431077975013578</v>
      </c>
      <c r="AQ121">
        <v>1.9550855771938109</v>
      </c>
      <c r="AR121">
        <v>1.6634599500771441</v>
      </c>
      <c r="AS121">
        <v>2.537685320950017</v>
      </c>
      <c r="AT121">
        <v>2.7851654271355391</v>
      </c>
      <c r="AU121">
        <v>2.4653231917116498</v>
      </c>
      <c r="AV121">
        <v>2.6725555277284978</v>
      </c>
      <c r="AW121">
        <v>2.2067366142365699</v>
      </c>
      <c r="AX121">
        <v>1.985292985279804</v>
      </c>
      <c r="AY121">
        <v>2.090843910127544</v>
      </c>
      <c r="AZ121">
        <v>1.8297411220240281</v>
      </c>
      <c r="BA121">
        <v>3.3478325840102179</v>
      </c>
      <c r="BB121">
        <v>0.7747681313873811</v>
      </c>
      <c r="BC121">
        <v>1.5255160211824761</v>
      </c>
      <c r="BD121">
        <v>2.7806327287932309</v>
      </c>
      <c r="BE121">
        <v>3.041363332267748</v>
      </c>
      <c r="BF121">
        <v>1.21999342274306</v>
      </c>
      <c r="BG121">
        <v>0.2410474298267557</v>
      </c>
      <c r="BH121">
        <v>3.879039965797329E-2</v>
      </c>
      <c r="BI121">
        <v>-9.4016656915750035E-2</v>
      </c>
      <c r="BJ121">
        <v>1.2265331664581181</v>
      </c>
      <c r="BK121">
        <v>1.1374876360039059</v>
      </c>
      <c r="BL121">
        <v>0.61124694376530397</v>
      </c>
      <c r="BM121">
        <v>-0.13770757391651031</v>
      </c>
      <c r="BN121">
        <v>1.8737832576248059</v>
      </c>
      <c r="BO121">
        <v>8.2012899116171791</v>
      </c>
      <c r="BP121">
        <v>5.6221944219590112</v>
      </c>
      <c r="BQ121">
        <v>0.98237302306141705</v>
      </c>
    </row>
    <row r="122" spans="1:70" x14ac:dyDescent="0.25">
      <c r="A122" t="s">
        <v>3254</v>
      </c>
      <c r="B122" t="s">
        <v>3255</v>
      </c>
      <c r="C122" t="s">
        <v>3023</v>
      </c>
      <c r="D122" t="s">
        <v>3024</v>
      </c>
      <c r="E122">
        <v>3.2742491383558758</v>
      </c>
      <c r="F122">
        <v>6.6984505363520936</v>
      </c>
      <c r="G122">
        <v>1.407506702413148</v>
      </c>
      <c r="H122">
        <v>1.7625027539107549</v>
      </c>
      <c r="I122">
        <v>2.0134228187918621</v>
      </c>
      <c r="J122">
        <v>2.6315789473685229</v>
      </c>
      <c r="K122">
        <v>1.9023986765922469</v>
      </c>
      <c r="L122">
        <v>3.023538961038557</v>
      </c>
      <c r="M122">
        <v>5.9286980500299498</v>
      </c>
      <c r="N122">
        <v>6.3034585347709546</v>
      </c>
      <c r="O122">
        <v>14.728004196256659</v>
      </c>
      <c r="P122">
        <v>5.3361792958586758</v>
      </c>
      <c r="Q122">
        <v>5.4277029963075059</v>
      </c>
      <c r="R122">
        <v>17.682591982483761</v>
      </c>
      <c r="S122">
        <v>27.158189455021631</v>
      </c>
      <c r="T122">
        <v>17.37614678858008</v>
      </c>
      <c r="U122">
        <v>9.7936532753465073</v>
      </c>
      <c r="V122">
        <v>11.19100163703586</v>
      </c>
      <c r="W122">
        <v>34.899801524050822</v>
      </c>
      <c r="X122">
        <v>29.079259610978578</v>
      </c>
      <c r="Y122">
        <v>27.30815898823073</v>
      </c>
      <c r="Z122">
        <v>12.73971811450912</v>
      </c>
      <c r="AA122">
        <v>6.5454079672006582</v>
      </c>
      <c r="AB122">
        <v>11.582111084425341</v>
      </c>
      <c r="AC122">
        <v>27.814769323745288</v>
      </c>
      <c r="AD122">
        <v>25.67310123917725</v>
      </c>
      <c r="AE122">
        <v>15.1053754209796</v>
      </c>
      <c r="AF122">
        <v>6.6524480496268419</v>
      </c>
      <c r="AG122">
        <v>8.2667657440090778</v>
      </c>
      <c r="AH122">
        <v>14.329539032857189</v>
      </c>
      <c r="AI122">
        <v>21.960175116508289</v>
      </c>
      <c r="AJ122">
        <v>51.071097730431312</v>
      </c>
      <c r="AK122">
        <v>77.296592955965096</v>
      </c>
      <c r="AL122">
        <v>22.06994941852923</v>
      </c>
      <c r="AM122">
        <v>35.063394248477167</v>
      </c>
      <c r="AN122">
        <v>19.908748836416809</v>
      </c>
      <c r="AO122">
        <v>26.406656607404251</v>
      </c>
      <c r="AP122">
        <v>9.6575526126859543</v>
      </c>
      <c r="AQ122">
        <v>8.6318961301214436</v>
      </c>
      <c r="AR122">
        <v>5.954239491130056</v>
      </c>
      <c r="AS122">
        <v>8.1710835612022468</v>
      </c>
      <c r="AT122">
        <v>6.8019093078759028</v>
      </c>
      <c r="AU122">
        <v>7.0763500931098502</v>
      </c>
      <c r="AV122">
        <v>10.08695652173914</v>
      </c>
      <c r="AW122">
        <v>13.55450236966824</v>
      </c>
      <c r="AX122">
        <v>15.052865887590491</v>
      </c>
      <c r="AY122">
        <v>8.5610640870615686</v>
      </c>
      <c r="AZ122">
        <v>9.2448206727556244</v>
      </c>
      <c r="BA122">
        <v>22.022838499184349</v>
      </c>
      <c r="BB122">
        <v>9.592245989304816</v>
      </c>
      <c r="BC122">
        <v>12.6105519975603</v>
      </c>
      <c r="BD122">
        <v>7.5558564658089997</v>
      </c>
      <c r="BE122">
        <v>6.8739770867430927</v>
      </c>
      <c r="BF122">
        <v>9.3415007656967255</v>
      </c>
      <c r="BG122">
        <v>8.2740788623141874</v>
      </c>
      <c r="BH122">
        <v>3.6915422885572489</v>
      </c>
      <c r="BI122">
        <v>2.3510219748584622</v>
      </c>
      <c r="BJ122">
        <v>4.3783986499156109</v>
      </c>
      <c r="BK122">
        <v>3.7366388215216331</v>
      </c>
      <c r="BL122">
        <v>3.9051000086587231</v>
      </c>
      <c r="BM122">
        <v>5.2267777929352004</v>
      </c>
      <c r="BN122">
        <v>5.8627824280106298</v>
      </c>
      <c r="BO122">
        <v>10.34956883912716</v>
      </c>
      <c r="BP122">
        <v>6.4741373466206271</v>
      </c>
      <c r="BQ122">
        <v>5.4119444798165883</v>
      </c>
    </row>
    <row r="123" spans="1:70" x14ac:dyDescent="0.25">
      <c r="A123" t="s">
        <v>3256</v>
      </c>
      <c r="B123" t="s">
        <v>3257</v>
      </c>
      <c r="C123" t="s">
        <v>3023</v>
      </c>
      <c r="D123" t="s">
        <v>3024</v>
      </c>
      <c r="O123">
        <v>5.8999999989999159</v>
      </c>
      <c r="P123">
        <v>4.8158640236526757</v>
      </c>
      <c r="Q123">
        <v>7.6576576576575999</v>
      </c>
      <c r="R123">
        <v>11.12970711213371</v>
      </c>
      <c r="S123">
        <v>19.427710843520401</v>
      </c>
      <c r="T123">
        <v>11.97982345530882</v>
      </c>
      <c r="U123">
        <v>11.49999999999967</v>
      </c>
      <c r="V123">
        <v>14.566517189387611</v>
      </c>
      <c r="W123">
        <v>6.921521299524076</v>
      </c>
      <c r="X123">
        <v>14.246491763078369</v>
      </c>
      <c r="Y123">
        <v>11.111111111111329</v>
      </c>
      <c r="Z123">
        <v>7.6999999999997533</v>
      </c>
      <c r="AA123">
        <v>7.4280408542249097</v>
      </c>
      <c r="AB123">
        <v>5.0201670983146132</v>
      </c>
      <c r="AC123">
        <v>3.847472738376108</v>
      </c>
      <c r="AD123">
        <v>2.9850746271475588</v>
      </c>
      <c r="AF123">
        <v>-0.1999999999999082</v>
      </c>
      <c r="AG123">
        <v>6.6132264529057752</v>
      </c>
      <c r="AH123">
        <v>25.712719298245361</v>
      </c>
      <c r="AI123">
        <v>16.192137561523349</v>
      </c>
      <c r="AJ123">
        <v>8.1554959785521248</v>
      </c>
      <c r="AK123">
        <v>3.995835605571898</v>
      </c>
      <c r="AL123">
        <v>3.3166666666670639</v>
      </c>
      <c r="AM123">
        <v>3.5166962413288578</v>
      </c>
      <c r="AN123">
        <v>2.353124513012733</v>
      </c>
      <c r="AO123">
        <v>6.5012180267958577</v>
      </c>
      <c r="AP123">
        <v>3.0378842030025028</v>
      </c>
      <c r="AQ123">
        <v>3.0916666666670332</v>
      </c>
      <c r="AR123">
        <v>0.60625656777942671</v>
      </c>
      <c r="AS123">
        <v>0.66688092559795986</v>
      </c>
      <c r="AT123">
        <v>1.772204373510166</v>
      </c>
      <c r="AU123">
        <v>1.832993890020495</v>
      </c>
      <c r="AV123">
        <v>1.629999999999981</v>
      </c>
      <c r="AW123">
        <v>3.3618682147660111</v>
      </c>
      <c r="AX123">
        <v>3.4936853461953081</v>
      </c>
      <c r="AY123">
        <v>6.2517246665644324</v>
      </c>
      <c r="AZ123">
        <v>4.7439063902164751</v>
      </c>
      <c r="BA123">
        <v>13.971231001272921</v>
      </c>
      <c r="BB123">
        <v>-0.7390697431447768</v>
      </c>
      <c r="BC123">
        <v>4.8455187585211608</v>
      </c>
      <c r="BD123">
        <v>4.1624416292779003</v>
      </c>
      <c r="BE123">
        <v>4.5152295667099027</v>
      </c>
      <c r="BF123">
        <v>4.8246231426953718</v>
      </c>
      <c r="BG123">
        <v>2.8994790500605698</v>
      </c>
      <c r="BH123">
        <v>-0.87685135970404904</v>
      </c>
      <c r="BI123">
        <v>-0.77843046305414176</v>
      </c>
      <c r="BJ123">
        <v>3.323894475760973</v>
      </c>
      <c r="BK123">
        <v>4.4623110847548118</v>
      </c>
      <c r="BL123">
        <v>0.76151404726560079</v>
      </c>
      <c r="BM123">
        <v>0.3332943506283782</v>
      </c>
      <c r="BN123">
        <v>1.3460937724311779</v>
      </c>
      <c r="BO123">
        <v>4.2291556889711748</v>
      </c>
      <c r="BP123">
        <v>2.0848698632713392</v>
      </c>
      <c r="BQ123">
        <v>1.556596112839526</v>
      </c>
    </row>
    <row r="124" spans="1:70" x14ac:dyDescent="0.25">
      <c r="A124" t="s">
        <v>3258</v>
      </c>
      <c r="B124" t="s">
        <v>3259</v>
      </c>
      <c r="C124" t="s">
        <v>3023</v>
      </c>
      <c r="D124" t="s">
        <v>3024</v>
      </c>
      <c r="E124">
        <v>3.5745115253591009</v>
      </c>
      <c r="F124">
        <v>5.3684617848005516</v>
      </c>
      <c r="G124">
        <v>6.8354403481972987</v>
      </c>
      <c r="H124">
        <v>6.7069055639798982</v>
      </c>
      <c r="I124">
        <v>3.800389453057528</v>
      </c>
      <c r="J124">
        <v>6.6559909426062056</v>
      </c>
      <c r="K124">
        <v>5.0408320588767612</v>
      </c>
      <c r="L124">
        <v>3.9898480888151751</v>
      </c>
      <c r="M124">
        <v>5.3394329573934378</v>
      </c>
      <c r="N124">
        <v>5.249820911020266</v>
      </c>
      <c r="O124">
        <v>6.9241738348578084</v>
      </c>
      <c r="P124">
        <v>6.3953488372092648</v>
      </c>
      <c r="Q124">
        <v>4.843517138599049</v>
      </c>
      <c r="R124">
        <v>11.608623548922059</v>
      </c>
      <c r="S124">
        <v>23.222245807684239</v>
      </c>
      <c r="T124">
        <v>11.73126614987075</v>
      </c>
      <c r="U124">
        <v>9.3740363860623379</v>
      </c>
      <c r="V124">
        <v>8.1618268959684173</v>
      </c>
      <c r="W124">
        <v>4.209566010686812</v>
      </c>
      <c r="X124">
        <v>3.7018509254626939</v>
      </c>
      <c r="Y124">
        <v>7.7785817655571803</v>
      </c>
      <c r="Z124">
        <v>4.9121629182052269</v>
      </c>
      <c r="AA124">
        <v>2.7410409556314002</v>
      </c>
      <c r="AB124">
        <v>1.8997197134848529</v>
      </c>
      <c r="AC124">
        <v>2.2616136919315508</v>
      </c>
      <c r="AD124">
        <v>2.0322773460849008</v>
      </c>
      <c r="AE124">
        <v>0.59558679945324855</v>
      </c>
      <c r="AF124">
        <v>0.1261768416965835</v>
      </c>
      <c r="AG124">
        <v>0.67855758045755765</v>
      </c>
      <c r="AH124">
        <v>2.2722896206431682</v>
      </c>
      <c r="AI124">
        <v>3.0785162869516038</v>
      </c>
      <c r="AJ124">
        <v>3.25143848753308</v>
      </c>
      <c r="AK124">
        <v>1.760283060592702</v>
      </c>
      <c r="AL124">
        <v>1.2430458970792411</v>
      </c>
      <c r="AM124">
        <v>0.69545805786900372</v>
      </c>
      <c r="AN124">
        <v>-0.12789904502044641</v>
      </c>
      <c r="AO124">
        <v>0.13660035857590941</v>
      </c>
      <c r="AP124">
        <v>1.747804586921331</v>
      </c>
      <c r="AQ124">
        <v>0.66197419138591085</v>
      </c>
      <c r="AR124">
        <v>-0.34129692832755359</v>
      </c>
      <c r="AS124">
        <v>-0.67657868359517515</v>
      </c>
      <c r="AT124">
        <v>-0.74005550416273758</v>
      </c>
      <c r="AU124">
        <v>-0.92349402694232052</v>
      </c>
      <c r="AV124">
        <v>-0.25654181631602452</v>
      </c>
      <c r="AW124">
        <v>-8.5733882031027164E-3</v>
      </c>
      <c r="AX124">
        <v>-0.2829460687643906</v>
      </c>
      <c r="AY124">
        <v>0.24935511607908489</v>
      </c>
      <c r="AZ124">
        <v>6.003945449866898E-2</v>
      </c>
      <c r="BA124">
        <v>1.380078861649201</v>
      </c>
      <c r="BB124">
        <v>-1.352836729517185</v>
      </c>
      <c r="BC124">
        <v>-0.72824320751777882</v>
      </c>
      <c r="BD124">
        <v>-0.27245561610124008</v>
      </c>
      <c r="BE124">
        <v>-4.4064510443260187E-2</v>
      </c>
      <c r="BF124">
        <v>0.33503791218474138</v>
      </c>
      <c r="BG124">
        <v>2.7592267135325308</v>
      </c>
      <c r="BH124">
        <v>0.79527963057983919</v>
      </c>
      <c r="BI124">
        <v>-0.12725884448975369</v>
      </c>
      <c r="BJ124">
        <v>0.48419979612638508</v>
      </c>
      <c r="BK124">
        <v>0.98909459802184796</v>
      </c>
      <c r="BL124">
        <v>0.4687761593839499</v>
      </c>
      <c r="BM124">
        <v>-2.4995834027731041E-2</v>
      </c>
      <c r="BN124">
        <v>-0.2333527793982636</v>
      </c>
      <c r="BO124">
        <v>2.497702781722547</v>
      </c>
      <c r="BP124">
        <v>3.2681336593316348</v>
      </c>
      <c r="BQ124">
        <v>2.7385368163524069</v>
      </c>
    </row>
    <row r="125" spans="1:70" x14ac:dyDescent="0.25">
      <c r="A125" t="s">
        <v>3260</v>
      </c>
      <c r="B125" t="s">
        <v>3261</v>
      </c>
      <c r="C125" t="s">
        <v>3023</v>
      </c>
      <c r="D125" t="s">
        <v>3024</v>
      </c>
      <c r="AM125">
        <v>1877.3723951757161</v>
      </c>
      <c r="AN125">
        <v>176.15529894237019</v>
      </c>
      <c r="AO125">
        <v>39.182542365411059</v>
      </c>
      <c r="AP125">
        <v>17.408041060735691</v>
      </c>
      <c r="AQ125">
        <v>7.146326654523337</v>
      </c>
      <c r="AR125">
        <v>8.2960276534256447</v>
      </c>
      <c r="AS125">
        <v>13.180890586573129</v>
      </c>
      <c r="AT125">
        <v>8.3541377716134431</v>
      </c>
      <c r="AU125">
        <v>5.8369245210564262</v>
      </c>
      <c r="AV125">
        <v>6.4382181011893982</v>
      </c>
      <c r="AW125">
        <v>6.882054389818987</v>
      </c>
      <c r="AX125">
        <v>7.5799992912576553</v>
      </c>
      <c r="AY125">
        <v>8.7216938609172558</v>
      </c>
      <c r="AZ125">
        <v>10.84683620755567</v>
      </c>
      <c r="BA125">
        <v>17.139899777206981</v>
      </c>
      <c r="BB125">
        <v>7.3160785828857753</v>
      </c>
      <c r="BC125">
        <v>7.4004635634139566</v>
      </c>
      <c r="BD125">
        <v>8.4529046617678993</v>
      </c>
      <c r="BE125">
        <v>5.1956836903507293</v>
      </c>
      <c r="BF125">
        <v>5.9428387164841849</v>
      </c>
      <c r="BG125">
        <v>6.8494497700335781</v>
      </c>
      <c r="BH125">
        <v>6.6782858561523621</v>
      </c>
      <c r="BI125">
        <v>14.36109423862478</v>
      </c>
      <c r="BJ125">
        <v>7.4426632130679247</v>
      </c>
      <c r="BK125">
        <v>6.1636624757776248</v>
      </c>
      <c r="BL125">
        <v>5.3335609891666893</v>
      </c>
      <c r="BM125">
        <v>6.7181545486145833</v>
      </c>
      <c r="BN125">
        <v>8.0414713402840103</v>
      </c>
      <c r="BO125">
        <v>15.027864444085051</v>
      </c>
      <c r="BP125">
        <v>14.52755978259521</v>
      </c>
      <c r="BQ125">
        <v>8.6908215610449435</v>
      </c>
    </row>
    <row r="126" spans="1:70" x14ac:dyDescent="0.25">
      <c r="A126" t="s">
        <v>3262</v>
      </c>
      <c r="B126" t="s">
        <v>3263</v>
      </c>
      <c r="C126" t="s">
        <v>3023</v>
      </c>
      <c r="D126" t="s">
        <v>3024</v>
      </c>
      <c r="E126">
        <v>1.243781094527306</v>
      </c>
      <c r="F126">
        <v>2.4570024570025351</v>
      </c>
      <c r="G126">
        <v>3.1175059952037811</v>
      </c>
      <c r="H126">
        <v>0.6976744186045889</v>
      </c>
      <c r="I126">
        <v>-9.930486693143406E-2</v>
      </c>
      <c r="J126">
        <v>3.5785288280674181</v>
      </c>
      <c r="K126">
        <v>5.0143953932341407</v>
      </c>
      <c r="L126">
        <v>1.7591957959829929</v>
      </c>
      <c r="M126">
        <v>0.36671157005101862</v>
      </c>
      <c r="N126">
        <v>-0.1715010065623305</v>
      </c>
      <c r="O126">
        <v>2.1885270390743852</v>
      </c>
      <c r="P126">
        <v>3.7802061254490651</v>
      </c>
      <c r="Q126">
        <v>5.8316447431100471</v>
      </c>
      <c r="R126">
        <v>9.281194223321064</v>
      </c>
      <c r="S126">
        <v>17.809948033181819</v>
      </c>
      <c r="T126">
        <v>19.120184013605058</v>
      </c>
      <c r="U126">
        <v>11.4490304932756</v>
      </c>
      <c r="V126">
        <v>14.82096448189349</v>
      </c>
      <c r="W126">
        <v>16.9317824582842</v>
      </c>
      <c r="X126">
        <v>7.979352618487864</v>
      </c>
      <c r="Y126">
        <v>13.85818145624839</v>
      </c>
      <c r="Z126">
        <v>11.60305343511425</v>
      </c>
      <c r="AA126">
        <v>20.666714666282719</v>
      </c>
      <c r="AB126">
        <v>11.397782736852291</v>
      </c>
      <c r="AC126">
        <v>10.284098213138041</v>
      </c>
      <c r="AD126">
        <v>13.006566421882701</v>
      </c>
      <c r="AE126">
        <v>2.5342759889288828</v>
      </c>
      <c r="AF126">
        <v>8.6376731898008394</v>
      </c>
      <c r="AG126">
        <v>12.264963048158171</v>
      </c>
      <c r="AH126">
        <v>13.789317276388291</v>
      </c>
      <c r="AI126">
        <v>17.78181442991999</v>
      </c>
      <c r="AJ126">
        <v>20.084495575463151</v>
      </c>
      <c r="AK126">
        <v>27.332364447578389</v>
      </c>
      <c r="AL126">
        <v>45.978881303621847</v>
      </c>
      <c r="AM126">
        <v>28.814389430673149</v>
      </c>
      <c r="AN126">
        <v>1.554328160550088</v>
      </c>
      <c r="AO126">
        <v>8.8640874157752236</v>
      </c>
      <c r="AP126">
        <v>11.36184505057833</v>
      </c>
      <c r="AQ126">
        <v>6.7224365075392782</v>
      </c>
      <c r="AR126">
        <v>5.7420010952048353</v>
      </c>
      <c r="AS126">
        <v>9.9800251535097892</v>
      </c>
      <c r="AT126">
        <v>5.7385981434146682</v>
      </c>
      <c r="AU126">
        <v>1.9613082173916221</v>
      </c>
      <c r="AV126">
        <v>9.8156906297965385</v>
      </c>
      <c r="AW126">
        <v>11.62403554424262</v>
      </c>
      <c r="AX126">
        <v>10.312778357468259</v>
      </c>
      <c r="AY126">
        <v>14.453734208170779</v>
      </c>
      <c r="AZ126">
        <v>9.7588802302752899</v>
      </c>
      <c r="BA126">
        <v>26.23981664450627</v>
      </c>
      <c r="BB126">
        <v>9.2341259239465181</v>
      </c>
      <c r="BC126">
        <v>3.9613888911538511</v>
      </c>
      <c r="BD126">
        <v>14.022491301470421</v>
      </c>
      <c r="BE126">
        <v>9.377770035475983</v>
      </c>
      <c r="BF126">
        <v>5.7174935703773286</v>
      </c>
      <c r="BG126">
        <v>6.8781549927594892</v>
      </c>
      <c r="BH126">
        <v>6.5821542928477861</v>
      </c>
      <c r="BI126">
        <v>6.2972495381462492</v>
      </c>
      <c r="BJ126">
        <v>8.0056496770994467</v>
      </c>
      <c r="BK126">
        <v>4.6898064677632991</v>
      </c>
      <c r="BL126">
        <v>5.2396379576479228</v>
      </c>
      <c r="BM126">
        <v>5.4051620793339197</v>
      </c>
      <c r="BN126">
        <v>6.107936036591763</v>
      </c>
      <c r="BO126">
        <v>7.6598626827222391</v>
      </c>
      <c r="BP126">
        <v>7.6713963402940228</v>
      </c>
      <c r="BQ126">
        <v>4.4897885424344786</v>
      </c>
    </row>
    <row r="127" spans="1:70" x14ac:dyDescent="0.25">
      <c r="A127" t="s">
        <v>3264</v>
      </c>
      <c r="B127" t="s">
        <v>3265</v>
      </c>
      <c r="C127" t="s">
        <v>3023</v>
      </c>
      <c r="D127" t="s">
        <v>3024</v>
      </c>
      <c r="AO127">
        <v>31.94733772185668</v>
      </c>
      <c r="AP127">
        <v>23.435427849700499</v>
      </c>
      <c r="AQ127">
        <v>10.45738258467212</v>
      </c>
      <c r="AR127">
        <v>37.030925836934408</v>
      </c>
      <c r="AS127">
        <v>18.700734283802309</v>
      </c>
      <c r="AT127">
        <v>6.9196798942303959</v>
      </c>
      <c r="AU127">
        <v>2.1342098631024302</v>
      </c>
      <c r="AV127">
        <v>2.9746129518435498</v>
      </c>
      <c r="AW127">
        <v>4.1106508472338072</v>
      </c>
      <c r="AX127">
        <v>4.3386739184431038</v>
      </c>
      <c r="AY127">
        <v>5.552123331625423</v>
      </c>
      <c r="AZ127">
        <v>10.23010326604841</v>
      </c>
      <c r="BA127">
        <v>24.520102423410162</v>
      </c>
      <c r="BB127">
        <v>6.8365624810536803</v>
      </c>
      <c r="BC127">
        <v>7.9677222557968372</v>
      </c>
      <c r="BD127">
        <v>16.636326273149511</v>
      </c>
      <c r="BE127">
        <v>2.7684423654095669</v>
      </c>
      <c r="BF127">
        <v>6.6137520235808154</v>
      </c>
      <c r="BG127">
        <v>7.5342472977589026</v>
      </c>
      <c r="BH127">
        <v>6.5033183899338356</v>
      </c>
      <c r="BI127">
        <v>0.38883829689579902</v>
      </c>
      <c r="BJ127">
        <v>3.1753098637993959</v>
      </c>
      <c r="BK127">
        <v>1.5426614523843589</v>
      </c>
      <c r="BL127">
        <v>1.1336225771880359</v>
      </c>
      <c r="BM127">
        <v>6.3254229633807757</v>
      </c>
      <c r="BN127">
        <v>11.90503981851468</v>
      </c>
      <c r="BO127">
        <v>13.922909317417581</v>
      </c>
      <c r="BP127">
        <v>10.75327704167424</v>
      </c>
      <c r="BQ127">
        <v>4.9976070120732308</v>
      </c>
    </row>
    <row r="128" spans="1:70" x14ac:dyDescent="0.25">
      <c r="A128" t="s">
        <v>3266</v>
      </c>
      <c r="B128" t="s">
        <v>3267</v>
      </c>
      <c r="C128" t="s">
        <v>3023</v>
      </c>
      <c r="D128" t="s">
        <v>3024</v>
      </c>
      <c r="AN128">
        <v>-0.79894433781187779</v>
      </c>
      <c r="AO128">
        <v>7.1508614087279616</v>
      </c>
      <c r="AP128">
        <v>7.9602139777745604</v>
      </c>
      <c r="AQ128">
        <v>14.806503543776261</v>
      </c>
      <c r="AR128">
        <v>4.0082070208878227</v>
      </c>
      <c r="AS128">
        <v>-0.7919925294735668</v>
      </c>
      <c r="AT128">
        <v>-0.60064830012368586</v>
      </c>
      <c r="AU128">
        <v>0.21146656802260699</v>
      </c>
      <c r="AV128">
        <v>0.94174611779921003</v>
      </c>
      <c r="AW128">
        <v>4.319336774347855</v>
      </c>
      <c r="AX128">
        <v>6.6152591200158719</v>
      </c>
      <c r="AY128">
        <v>5.8106855046430637</v>
      </c>
      <c r="AZ128">
        <v>8.7088277056804912</v>
      </c>
      <c r="BA128">
        <v>24.096851930605041</v>
      </c>
      <c r="BB128">
        <v>-1.241717541896374</v>
      </c>
      <c r="BC128">
        <v>3.9963952810721808</v>
      </c>
      <c r="BD128">
        <v>5.4784474961744998</v>
      </c>
      <c r="BE128">
        <v>2.9343160929395098</v>
      </c>
      <c r="BF128">
        <v>2.941625095473491</v>
      </c>
      <c r="BG128">
        <v>3.855688614242069</v>
      </c>
      <c r="BH128">
        <v>1.22393195511119</v>
      </c>
      <c r="BI128">
        <v>3.0191397513912799</v>
      </c>
      <c r="BJ128">
        <v>2.9126355737147782</v>
      </c>
      <c r="BK128">
        <v>2.4590851538014591</v>
      </c>
      <c r="BL128">
        <v>1.94257500833107</v>
      </c>
      <c r="BM128">
        <v>2.9402951426396968</v>
      </c>
      <c r="BN128">
        <v>2.920734775929485</v>
      </c>
      <c r="BO128">
        <v>5.3437026489543697</v>
      </c>
      <c r="BP128">
        <v>2.127467965941944</v>
      </c>
      <c r="BQ128">
        <v>0.80804201653665408</v>
      </c>
    </row>
    <row r="129" spans="1:69" x14ac:dyDescent="0.25">
      <c r="A129" t="s">
        <v>3268</v>
      </c>
      <c r="B129" t="s">
        <v>3269</v>
      </c>
      <c r="C129" t="s">
        <v>3023</v>
      </c>
      <c r="D129" t="s">
        <v>3024</v>
      </c>
      <c r="AZ129">
        <v>3.5925213126641729</v>
      </c>
      <c r="BA129">
        <v>13.665399525244149</v>
      </c>
      <c r="BB129">
        <v>9.8164388450865676</v>
      </c>
      <c r="BC129">
        <v>-3.8995504065164912</v>
      </c>
      <c r="BD129">
        <v>1.4974097987596999</v>
      </c>
      <c r="BE129">
        <v>-3.045862927755707</v>
      </c>
      <c r="BF129">
        <v>-1.488059084680996</v>
      </c>
      <c r="BG129">
        <v>2.1039852092504301</v>
      </c>
      <c r="BH129">
        <v>0.57201574363425556</v>
      </c>
      <c r="BI129">
        <v>1.9173109023337771</v>
      </c>
      <c r="BJ129">
        <v>0.35552088854682828</v>
      </c>
      <c r="BK129">
        <v>0.56403049149347573</v>
      </c>
      <c r="BL129">
        <v>-1.813079953029471</v>
      </c>
      <c r="BM129">
        <v>2.5532455441463009</v>
      </c>
      <c r="BN129">
        <v>2.0536167677390749</v>
      </c>
      <c r="BO129">
        <v>5.345954409089039</v>
      </c>
      <c r="BP129">
        <v>9.2830737451772105</v>
      </c>
      <c r="BQ129">
        <v>2.4554507215902781</v>
      </c>
    </row>
    <row r="130" spans="1:69" x14ac:dyDescent="0.25">
      <c r="A130" t="s">
        <v>3270</v>
      </c>
      <c r="B130" t="s">
        <v>3271</v>
      </c>
      <c r="C130" t="s">
        <v>3023</v>
      </c>
      <c r="D130" t="s">
        <v>3024</v>
      </c>
      <c r="Y130">
        <v>17.73665480468124</v>
      </c>
      <c r="Z130">
        <v>10.47636319668899</v>
      </c>
      <c r="AA130">
        <v>5.9272229820199307</v>
      </c>
      <c r="AB130">
        <v>2.2915353703470651</v>
      </c>
      <c r="AC130">
        <v>2.7149047054881841</v>
      </c>
      <c r="AD130">
        <v>2.61954629955699</v>
      </c>
      <c r="AE130">
        <v>-6.6855337242675153E-3</v>
      </c>
      <c r="AF130">
        <v>0.96301264865157044</v>
      </c>
      <c r="AG130">
        <v>0.23252503399781299</v>
      </c>
      <c r="AH130">
        <v>5.169964955625729</v>
      </c>
      <c r="AI130">
        <v>4.0109840775561718</v>
      </c>
      <c r="AJ130">
        <v>4.3237394435542047</v>
      </c>
      <c r="AK130">
        <v>2.8584467251445811</v>
      </c>
      <c r="AL130">
        <v>1.7948614643378209</v>
      </c>
      <c r="AM130">
        <v>1.4422695880494301</v>
      </c>
      <c r="AN130">
        <v>2.9568002509261979</v>
      </c>
      <c r="AO130">
        <v>2.0865738516912149</v>
      </c>
      <c r="AP130">
        <v>8.9051833911601594</v>
      </c>
      <c r="AQ130">
        <v>3.4463586595527338</v>
      </c>
      <c r="AR130">
        <v>3.3630363036304538</v>
      </c>
      <c r="AS130">
        <v>2.1488553274369622</v>
      </c>
      <c r="AT130">
        <v>2.3034474834925471</v>
      </c>
      <c r="AU130">
        <v>2.0410910262020838</v>
      </c>
      <c r="AV130">
        <v>2.2354366437455262</v>
      </c>
      <c r="AW130">
        <v>2.314554622380927</v>
      </c>
      <c r="AX130">
        <v>3.3778190398823762</v>
      </c>
      <c r="AY130">
        <v>8.4874857584587851</v>
      </c>
      <c r="AZ130">
        <v>4.4808860861472581</v>
      </c>
      <c r="BA130">
        <v>5.3002967507258436</v>
      </c>
      <c r="BB130">
        <v>2.0579370904183629</v>
      </c>
      <c r="BC130">
        <v>0.85087864979584427</v>
      </c>
      <c r="BD130">
        <v>5.8351651957086004</v>
      </c>
      <c r="BE130">
        <v>0.81608928156245897</v>
      </c>
      <c r="BF130">
        <v>1.106985540001294</v>
      </c>
      <c r="BG130">
        <v>0.24786539236494179</v>
      </c>
      <c r="BH130">
        <v>-2.3018756304561578</v>
      </c>
      <c r="BI130">
        <v>-0.68703712329403932</v>
      </c>
      <c r="BJ130">
        <v>0.69491671161360435</v>
      </c>
      <c r="BK130">
        <v>-1.037122141315725</v>
      </c>
      <c r="BL130">
        <v>-0.32956206366397728</v>
      </c>
      <c r="BM130">
        <v>-1.167245017693531</v>
      </c>
      <c r="BN130">
        <v>1.1956888703840021</v>
      </c>
      <c r="BO130">
        <v>2.6681753311124909</v>
      </c>
      <c r="BP130">
        <v>3.5571123084824312</v>
      </c>
    </row>
    <row r="131" spans="1:69" x14ac:dyDescent="0.25">
      <c r="A131" t="s">
        <v>3272</v>
      </c>
      <c r="B131" t="s">
        <v>3273</v>
      </c>
      <c r="C131" t="s">
        <v>3023</v>
      </c>
      <c r="D131" t="s">
        <v>3024</v>
      </c>
      <c r="E131">
        <v>7.9655657548259233</v>
      </c>
      <c r="F131">
        <v>8.1956528825409176</v>
      </c>
      <c r="G131">
        <v>6.6183109749239106</v>
      </c>
      <c r="H131">
        <v>20.69164731864764</v>
      </c>
      <c r="I131">
        <v>29.462831450079779</v>
      </c>
      <c r="J131">
        <v>13.548194710465401</v>
      </c>
      <c r="K131">
        <v>11.261384877580969</v>
      </c>
      <c r="L131">
        <v>10.882440057196369</v>
      </c>
      <c r="M131">
        <v>10.77182139693512</v>
      </c>
      <c r="N131">
        <v>12.389564711118719</v>
      </c>
      <c r="O131">
        <v>15.95034236469454</v>
      </c>
      <c r="P131">
        <v>13.51170233130787</v>
      </c>
      <c r="Q131">
        <v>11.68898668068447</v>
      </c>
      <c r="R131">
        <v>3.2210290469232552</v>
      </c>
      <c r="S131">
        <v>24.304199540239669</v>
      </c>
      <c r="T131">
        <v>25.249256405673268</v>
      </c>
      <c r="U131">
        <v>15.327320521319439</v>
      </c>
      <c r="V131">
        <v>10.09666533133873</v>
      </c>
      <c r="W131">
        <v>14.460285019502409</v>
      </c>
      <c r="X131">
        <v>18.323496342179119</v>
      </c>
      <c r="Y131">
        <v>28.69760863620165</v>
      </c>
      <c r="Z131">
        <v>21.351640254000021</v>
      </c>
      <c r="AA131">
        <v>7.1908466400686972</v>
      </c>
      <c r="AB131">
        <v>3.4206141949892128</v>
      </c>
      <c r="AC131">
        <v>2.2739564000186312</v>
      </c>
      <c r="AD131">
        <v>2.4591087921527421</v>
      </c>
      <c r="AE131">
        <v>2.7499809606335752</v>
      </c>
      <c r="AF131">
        <v>3.0496607708742318</v>
      </c>
      <c r="AG131">
        <v>7.1460977372160546</v>
      </c>
      <c r="AH131">
        <v>5.7001654456140054</v>
      </c>
      <c r="AI131">
        <v>8.5732722572867672</v>
      </c>
      <c r="AJ131">
        <v>9.3327904816149534</v>
      </c>
      <c r="AK131">
        <v>6.2132814635518399</v>
      </c>
      <c r="AL131">
        <v>4.8009966021535373</v>
      </c>
      <c r="AM131">
        <v>6.2658595003967923</v>
      </c>
      <c r="AN131">
        <v>4.4807410855724807</v>
      </c>
      <c r="AO131">
        <v>4.9245435429275366</v>
      </c>
      <c r="AP131">
        <v>4.4389318457463007</v>
      </c>
      <c r="AQ131">
        <v>7.5135800807930693</v>
      </c>
      <c r="AR131">
        <v>0.8129572544463699</v>
      </c>
      <c r="AS131">
        <v>2.2591658008015711</v>
      </c>
      <c r="AT131">
        <v>4.0665758789779218</v>
      </c>
      <c r="AU131">
        <v>2.7622621029659928</v>
      </c>
      <c r="AV131">
        <v>3.5148745145993918</v>
      </c>
      <c r="AW131">
        <v>3.5906629888257759</v>
      </c>
      <c r="AX131">
        <v>2.7537916273503922</v>
      </c>
      <c r="AY131">
        <v>2.242340285189206</v>
      </c>
      <c r="AZ131">
        <v>2.5345738213793232</v>
      </c>
      <c r="BA131">
        <v>4.6738965553340801</v>
      </c>
      <c r="BB131">
        <v>2.756496544939298</v>
      </c>
      <c r="BC131">
        <v>2.9392865265568582</v>
      </c>
      <c r="BD131">
        <v>4.0259650043609003</v>
      </c>
      <c r="BE131">
        <v>2.1870710443331371</v>
      </c>
      <c r="BF131">
        <v>1.301347545474125</v>
      </c>
      <c r="BG131">
        <v>1.274774464013219</v>
      </c>
      <c r="BH131">
        <v>0.70633177245574985</v>
      </c>
      <c r="BI131">
        <v>0.97168573991216789</v>
      </c>
      <c r="BJ131">
        <v>1.944332307863661</v>
      </c>
      <c r="BK131">
        <v>1.4758393500264511</v>
      </c>
      <c r="BL131">
        <v>0.38300030360813581</v>
      </c>
      <c r="BM131">
        <v>0.5372880234117372</v>
      </c>
      <c r="BN131">
        <v>2.4983333333333939</v>
      </c>
      <c r="BO131">
        <v>5.0895136506284162</v>
      </c>
      <c r="BP131">
        <v>3.597456250290104</v>
      </c>
      <c r="BQ131">
        <v>2.3217432864354208</v>
      </c>
    </row>
    <row r="132" spans="1:69" x14ac:dyDescent="0.25">
      <c r="A132" t="s">
        <v>3274</v>
      </c>
      <c r="B132" t="s">
        <v>3275</v>
      </c>
      <c r="C132" t="s">
        <v>3023</v>
      </c>
      <c r="D132" t="s">
        <v>3024</v>
      </c>
      <c r="R132">
        <v>8.2666666660000594</v>
      </c>
      <c r="S132">
        <v>12.99261083751867</v>
      </c>
      <c r="T132">
        <v>8.3923705721844524</v>
      </c>
      <c r="U132">
        <v>5.2350427353237601</v>
      </c>
      <c r="V132">
        <v>9.8895192593310188</v>
      </c>
      <c r="W132">
        <v>8.6897451227484002</v>
      </c>
      <c r="X132">
        <v>7.0499999992500939</v>
      </c>
      <c r="Y132">
        <v>6.9282266856318842</v>
      </c>
      <c r="Z132">
        <v>7.3747815958380709</v>
      </c>
      <c r="AA132">
        <v>7.7767984269085284</v>
      </c>
      <c r="AB132">
        <v>4.7181680927515561</v>
      </c>
      <c r="AC132">
        <v>1.1774600504666879</v>
      </c>
      <c r="AD132">
        <v>1.4903218142787651</v>
      </c>
      <c r="AE132">
        <v>0.95360674019203751</v>
      </c>
      <c r="AF132">
        <v>0.65484469170165627</v>
      </c>
      <c r="AG132">
        <v>1.468132880419132</v>
      </c>
      <c r="AH132">
        <v>3.342033590557921</v>
      </c>
      <c r="AI132">
        <v>9.8336353154340195</v>
      </c>
      <c r="AJ132">
        <v>9.058188362327579</v>
      </c>
      <c r="AK132">
        <v>-0.54547121378820995</v>
      </c>
      <c r="AL132">
        <v>0.38254136516591553</v>
      </c>
      <c r="AM132">
        <v>2.5344352617079191</v>
      </c>
      <c r="AN132">
        <v>2.6867275658248442</v>
      </c>
      <c r="AO132">
        <v>3.553985696842866</v>
      </c>
      <c r="AP132">
        <v>0.68219143470760391</v>
      </c>
      <c r="AQ132">
        <v>0.12965828767402679</v>
      </c>
      <c r="AR132">
        <v>2.9908103592316571</v>
      </c>
      <c r="AS132">
        <v>1.8129461388708901</v>
      </c>
      <c r="AT132">
        <v>1.2999999999999921</v>
      </c>
      <c r="AU132">
        <v>0.88845014807490663</v>
      </c>
      <c r="AV132">
        <v>0.96135029354211221</v>
      </c>
      <c r="AW132">
        <v>1.248564436798894</v>
      </c>
      <c r="AX132">
        <v>4.1429758363102316</v>
      </c>
      <c r="AY132">
        <v>3.0570133916672222</v>
      </c>
      <c r="AZ132">
        <v>5.4849498327759614</v>
      </c>
      <c r="BA132">
        <v>10.582709786514419</v>
      </c>
      <c r="BB132">
        <v>4.6095954844778726</v>
      </c>
      <c r="BC132">
        <v>4.4964028776978662</v>
      </c>
      <c r="BD132">
        <v>4.8394034987095003</v>
      </c>
      <c r="BE132">
        <v>3.2551460028721051</v>
      </c>
      <c r="BF132">
        <v>2.6822968408503942</v>
      </c>
      <c r="BG132">
        <v>2.9089267285862479</v>
      </c>
      <c r="BH132">
        <v>3.2717016609213339</v>
      </c>
      <c r="BI132">
        <v>3.1983977665837382</v>
      </c>
      <c r="BJ132">
        <v>2.171832985100056</v>
      </c>
      <c r="BK132">
        <v>0.54313314819956682</v>
      </c>
      <c r="BL132">
        <v>1.0918480265585599</v>
      </c>
      <c r="BM132">
        <v>2.1017295482740002</v>
      </c>
      <c r="BN132">
        <v>3.4236294760918842</v>
      </c>
      <c r="BO132">
        <v>3.980649619903132</v>
      </c>
      <c r="BP132">
        <v>3.6421640303070868</v>
      </c>
      <c r="BQ132">
        <v>2.8985507246376212</v>
      </c>
    </row>
    <row r="133" spans="1:69" x14ac:dyDescent="0.25">
      <c r="A133" t="s">
        <v>3276</v>
      </c>
      <c r="B133" t="s">
        <v>3277</v>
      </c>
      <c r="C133" t="s">
        <v>3023</v>
      </c>
      <c r="D133" t="s">
        <v>3024</v>
      </c>
    </row>
    <row r="134" spans="1:69" x14ac:dyDescent="0.25">
      <c r="A134" t="s">
        <v>3278</v>
      </c>
      <c r="B134" t="s">
        <v>3279</v>
      </c>
      <c r="C134" t="s">
        <v>3023</v>
      </c>
      <c r="D134" t="s">
        <v>3024</v>
      </c>
      <c r="AH134">
        <v>61.33259651061875</v>
      </c>
      <c r="AI134">
        <v>35.642982971226971</v>
      </c>
      <c r="AJ134">
        <v>13.441558441558589</v>
      </c>
      <c r="AK134">
        <v>9.8645296699103167</v>
      </c>
      <c r="AL134">
        <v>6.2672224151902922</v>
      </c>
      <c r="AM134">
        <v>6.7844807862022991</v>
      </c>
      <c r="AN134">
        <v>19.593918987858402</v>
      </c>
      <c r="AO134">
        <v>13.024415696346191</v>
      </c>
      <c r="AP134">
        <v>27.5088624491449</v>
      </c>
      <c r="AQ134">
        <v>90.980734562287793</v>
      </c>
      <c r="AR134">
        <v>125.27212839928011</v>
      </c>
      <c r="AS134">
        <v>25.08464142813154</v>
      </c>
      <c r="AT134">
        <v>7.8118079478347058</v>
      </c>
      <c r="AU134">
        <v>10.63134463233329</v>
      </c>
      <c r="AV134">
        <v>15.489352923352509</v>
      </c>
      <c r="AW134">
        <v>10.46226673142081</v>
      </c>
      <c r="AX134">
        <v>7.16541759946639</v>
      </c>
      <c r="AY134">
        <v>6.5455943905278708</v>
      </c>
      <c r="AZ134">
        <v>4.6619726946970097</v>
      </c>
      <c r="BA134">
        <v>7.6288088757751638</v>
      </c>
      <c r="BB134">
        <v>0.1411876749803849</v>
      </c>
      <c r="BC134">
        <v>5.9825452155008172</v>
      </c>
      <c r="BD134">
        <v>7.5689885610997996</v>
      </c>
      <c r="BE134">
        <v>4.2551267783208973</v>
      </c>
      <c r="BF134">
        <v>6.3714271778294709</v>
      </c>
      <c r="BG134">
        <v>4.1292430687377113</v>
      </c>
      <c r="BH134">
        <v>1.277354271029923</v>
      </c>
      <c r="BI134">
        <v>1.5969122758320411</v>
      </c>
      <c r="BJ134">
        <v>0.82547860756802593</v>
      </c>
      <c r="BK134">
        <v>2.0403926689020149</v>
      </c>
      <c r="BL134">
        <v>3.322558812569254</v>
      </c>
      <c r="BM134">
        <v>5.1040726295991909</v>
      </c>
      <c r="BN134">
        <v>3.7556203665887722</v>
      </c>
      <c r="BO134">
        <v>22.956222513205589</v>
      </c>
      <c r="BP134">
        <v>31.23013417326456</v>
      </c>
      <c r="BQ134">
        <v>23.130569594258809</v>
      </c>
    </row>
    <row r="135" spans="1:69" x14ac:dyDescent="0.25">
      <c r="A135" t="s">
        <v>3280</v>
      </c>
      <c r="B135" t="s">
        <v>3281</v>
      </c>
      <c r="C135" t="s">
        <v>3023</v>
      </c>
      <c r="D135" t="s">
        <v>3024</v>
      </c>
      <c r="BB135">
        <v>1.195096711655427</v>
      </c>
      <c r="BC135">
        <v>3.9834794185583311</v>
      </c>
      <c r="BD135">
        <v>4.9714857169238416</v>
      </c>
      <c r="BE135">
        <v>6.5814744768367737</v>
      </c>
      <c r="BF135">
        <v>4.8210195629739889</v>
      </c>
      <c r="BG135">
        <v>1.854604213409097</v>
      </c>
      <c r="BH135">
        <v>-3.7491452479962861</v>
      </c>
      <c r="BI135">
        <v>-0.78335962436150774</v>
      </c>
      <c r="BJ135">
        <v>4.3213521830319079</v>
      </c>
      <c r="BK135">
        <v>6.0769890788960694</v>
      </c>
      <c r="BL135">
        <v>3.0053894939038268</v>
      </c>
      <c r="BM135">
        <v>84.864333047204056</v>
      </c>
      <c r="BN135">
        <v>154.7560960233933</v>
      </c>
      <c r="BO135">
        <v>171.2054913366413</v>
      </c>
      <c r="BP135">
        <v>221.34164402336501</v>
      </c>
      <c r="BQ135">
        <v>45.24304227167184</v>
      </c>
    </row>
    <row r="136" spans="1:69" x14ac:dyDescent="0.25">
      <c r="A136" t="s">
        <v>3282</v>
      </c>
      <c r="B136" t="s">
        <v>3283</v>
      </c>
      <c r="C136" t="s">
        <v>3023</v>
      </c>
      <c r="D136" t="s">
        <v>3024</v>
      </c>
      <c r="AU136">
        <v>14.159647011632471</v>
      </c>
      <c r="AV136">
        <v>10.330288123682349</v>
      </c>
      <c r="AW136">
        <v>7.8290870488323536</v>
      </c>
      <c r="AX136">
        <v>10.83435884814136</v>
      </c>
      <c r="AY136">
        <v>7.3414460827855788</v>
      </c>
      <c r="AZ136">
        <v>11.39189668071025</v>
      </c>
      <c r="BA136">
        <v>17.489448642993018</v>
      </c>
      <c r="BB136">
        <v>7.427643059149192</v>
      </c>
      <c r="BC136">
        <v>7.2899279689021821</v>
      </c>
      <c r="BD136">
        <v>8.4881675184940004</v>
      </c>
      <c r="BE136">
        <v>6.8317870341854832</v>
      </c>
      <c r="BF136">
        <v>7.5773068174139979</v>
      </c>
      <c r="BG136">
        <v>9.8611128557490382</v>
      </c>
      <c r="BH136">
        <v>7.7486968762132236</v>
      </c>
      <c r="BI136">
        <v>8.8342486833648763</v>
      </c>
      <c r="BJ136">
        <v>12.419632390713771</v>
      </c>
      <c r="BK136">
        <v>23.563514895374169</v>
      </c>
      <c r="BL136">
        <v>26.966276019787809</v>
      </c>
      <c r="BM136">
        <v>16.95572414962546</v>
      </c>
      <c r="BN136">
        <v>7.8155938585864844</v>
      </c>
      <c r="BO136">
        <v>7.5929848656031336</v>
      </c>
      <c r="BP136">
        <v>10.09445356655517</v>
      </c>
      <c r="BQ136">
        <v>8.2149743911896387</v>
      </c>
    </row>
    <row r="137" spans="1:69" x14ac:dyDescent="0.25">
      <c r="A137" t="s">
        <v>3284</v>
      </c>
      <c r="B137" t="s">
        <v>3285</v>
      </c>
      <c r="C137" t="s">
        <v>3023</v>
      </c>
      <c r="D137" t="s">
        <v>3024</v>
      </c>
      <c r="J137">
        <v>11.424999999667801</v>
      </c>
      <c r="K137">
        <v>12.242913768340861</v>
      </c>
      <c r="L137">
        <v>7.2961087423089062</v>
      </c>
      <c r="M137">
        <v>0.39123144730920478</v>
      </c>
      <c r="N137">
        <v>9.7859705554738436</v>
      </c>
      <c r="O137">
        <v>-5.2963714220470353</v>
      </c>
      <c r="P137">
        <v>-3.1038494081085082</v>
      </c>
      <c r="Q137">
        <v>-0.25102319208900781</v>
      </c>
      <c r="R137">
        <v>7.9708955631859961</v>
      </c>
      <c r="S137">
        <v>7.4584515608289363</v>
      </c>
      <c r="T137">
        <v>9.11920030145642</v>
      </c>
      <c r="U137">
        <v>5.4792152796884563</v>
      </c>
      <c r="V137">
        <v>6.2802130275090677</v>
      </c>
      <c r="W137">
        <v>29.379794164169819</v>
      </c>
      <c r="X137">
        <v>-6.0390287501709397</v>
      </c>
      <c r="Y137">
        <v>9.7342887947139225</v>
      </c>
      <c r="Z137">
        <v>11.199722607489401</v>
      </c>
      <c r="AA137">
        <v>10.2588088556284</v>
      </c>
      <c r="AB137">
        <v>10.60520361990959</v>
      </c>
      <c r="AC137">
        <v>12.47762720531821</v>
      </c>
      <c r="AD137">
        <v>9.1384405546715595</v>
      </c>
      <c r="AE137">
        <v>3.2909810456155801</v>
      </c>
      <c r="AF137">
        <v>4.355716878402891</v>
      </c>
      <c r="AG137">
        <v>6.0869565217390882</v>
      </c>
      <c r="AH137">
        <v>1.511839708560929</v>
      </c>
      <c r="AI137">
        <v>8.4514624080388163</v>
      </c>
      <c r="AJ137">
        <v>11.896095301125071</v>
      </c>
      <c r="AK137">
        <v>9.3597515895313528</v>
      </c>
      <c r="AL137">
        <v>11.07355327203889</v>
      </c>
      <c r="AM137">
        <v>5.1125989044431437</v>
      </c>
      <c r="AN137">
        <v>7.2379849449912896</v>
      </c>
      <c r="AO137">
        <v>4.0280777537796268</v>
      </c>
      <c r="AP137">
        <v>3.5502958579882078</v>
      </c>
      <c r="AQ137">
        <v>3.7092731829573942</v>
      </c>
      <c r="AR137">
        <v>2.6486225229581848</v>
      </c>
      <c r="AS137">
        <v>-2.9000000000002419</v>
      </c>
      <c r="AT137">
        <v>-8.8139375214554647</v>
      </c>
      <c r="AU137">
        <v>-9.7976470588235678</v>
      </c>
      <c r="AV137">
        <v>-2.1911519198664422</v>
      </c>
      <c r="AW137">
        <v>-2.1975677405590019</v>
      </c>
      <c r="AX137">
        <v>2.6502057613165748</v>
      </c>
      <c r="AY137">
        <v>1.459268762027244</v>
      </c>
      <c r="AZ137">
        <v>6.2509878299355286</v>
      </c>
      <c r="BA137">
        <v>10.36072889549982</v>
      </c>
      <c r="BB137">
        <v>2.4599002560994792</v>
      </c>
      <c r="BC137">
        <v>2.7998950010926791</v>
      </c>
      <c r="BD137">
        <v>15.5184815317561</v>
      </c>
      <c r="BE137">
        <v>6.0598039215686388</v>
      </c>
      <c r="BF137">
        <v>2.605818027195169</v>
      </c>
      <c r="BG137">
        <v>2.4329414159922549</v>
      </c>
      <c r="BH137">
        <v>10.40229335881506</v>
      </c>
      <c r="BI137">
        <v>25.85387421244608</v>
      </c>
      <c r="BJ137">
        <v>25.803618478833769</v>
      </c>
      <c r="BK137">
        <v>13.17020385367212</v>
      </c>
      <c r="BL137">
        <v>-2.162178834705947</v>
      </c>
      <c r="BM137">
        <v>1.4470365699874099</v>
      </c>
      <c r="BN137">
        <v>2.868330277510192</v>
      </c>
      <c r="BO137">
        <v>4.5103014923570317</v>
      </c>
      <c r="BP137">
        <v>2.3731753143516858</v>
      </c>
      <c r="BQ137">
        <v>2.1261576688502508</v>
      </c>
    </row>
    <row r="138" spans="1:69" x14ac:dyDescent="0.25">
      <c r="A138" t="s">
        <v>3286</v>
      </c>
      <c r="B138" t="s">
        <v>3287</v>
      </c>
      <c r="C138" t="s">
        <v>3023</v>
      </c>
      <c r="D138" t="s">
        <v>3024</v>
      </c>
      <c r="K138">
        <v>2.4790083965773122</v>
      </c>
      <c r="L138">
        <v>3.2071790871852901</v>
      </c>
      <c r="M138">
        <v>3.9694541053438859</v>
      </c>
      <c r="N138">
        <v>2.254381499689158</v>
      </c>
      <c r="O138">
        <v>13.39876253481825</v>
      </c>
      <c r="P138">
        <v>8.391345249205802</v>
      </c>
      <c r="Q138">
        <v>7.8805762890535149</v>
      </c>
      <c r="R138">
        <v>13.44060069717403</v>
      </c>
      <c r="S138">
        <v>34.220604226879239</v>
      </c>
      <c r="T138">
        <v>17.742787699652322</v>
      </c>
      <c r="U138">
        <v>9.6691198466874084</v>
      </c>
      <c r="V138">
        <v>8.8657319002618848</v>
      </c>
      <c r="W138">
        <v>10.87751829209911</v>
      </c>
      <c r="X138">
        <v>9.3900427128736013</v>
      </c>
      <c r="Y138">
        <v>19.477729113291161</v>
      </c>
      <c r="Z138">
        <v>15.1248443770346</v>
      </c>
      <c r="AA138">
        <v>4.6140674987308783</v>
      </c>
      <c r="AB138">
        <v>1.4730585346230129</v>
      </c>
      <c r="AC138">
        <v>1.205484103655883</v>
      </c>
      <c r="AD138">
        <v>1.4231989823873239</v>
      </c>
      <c r="AE138">
        <v>2.1902582543313249</v>
      </c>
      <c r="AF138">
        <v>7.0217530390278142</v>
      </c>
      <c r="AG138">
        <v>0.82947242564637558</v>
      </c>
      <c r="AH138">
        <v>4.3726376639732916</v>
      </c>
      <c r="AI138">
        <v>4.2675566285597224</v>
      </c>
      <c r="AJ138">
        <v>6.1495505311904939</v>
      </c>
      <c r="AK138">
        <v>5.1388977994482818</v>
      </c>
      <c r="AL138">
        <v>0.84818159628960299</v>
      </c>
      <c r="AM138">
        <v>2.8159166515396792</v>
      </c>
      <c r="AN138">
        <v>5.6296592151237803</v>
      </c>
      <c r="AO138">
        <v>0.92484260961597309</v>
      </c>
      <c r="AP138">
        <v>-5.5202870547238049E-3</v>
      </c>
      <c r="AQ138">
        <v>3.2019434167909071</v>
      </c>
      <c r="AR138">
        <v>3.5037978410894208</v>
      </c>
      <c r="AS138">
        <v>3.7107860871360989</v>
      </c>
      <c r="AT138">
        <v>5.3072208102854708</v>
      </c>
      <c r="AU138">
        <v>-0.2555366269165083</v>
      </c>
      <c r="AV138">
        <v>1.034253724262215</v>
      </c>
      <c r="AW138">
        <v>1.460368144252453</v>
      </c>
      <c r="AX138">
        <v>3.898273707594762</v>
      </c>
      <c r="AY138">
        <v>2.3956208252916822</v>
      </c>
      <c r="AZ138">
        <v>2.8231037373692942</v>
      </c>
      <c r="BA138">
        <v>5.5495476938393686</v>
      </c>
      <c r="BB138">
        <v>-0.15693608716866941</v>
      </c>
      <c r="BC138">
        <v>3.250344091801288</v>
      </c>
      <c r="BD138">
        <v>2.7694079414409312</v>
      </c>
      <c r="BE138">
        <v>4.1776358710251458</v>
      </c>
      <c r="BF138">
        <v>1.4685651103542829</v>
      </c>
      <c r="BG138">
        <v>3.516955513692412</v>
      </c>
      <c r="BH138">
        <v>-0.98360095269699555</v>
      </c>
      <c r="BI138">
        <v>-3.078217656769267</v>
      </c>
      <c r="BJ138">
        <v>0.104262078958441</v>
      </c>
      <c r="BK138">
        <v>1.935618931506019</v>
      </c>
      <c r="BL138">
        <v>0.53908755919175744</v>
      </c>
      <c r="BM138">
        <v>-1.755808335175935</v>
      </c>
      <c r="BN138">
        <v>2.410703121743933</v>
      </c>
      <c r="BO138">
        <v>6.3781469513335143</v>
      </c>
      <c r="BP138">
        <v>4.0706082192620441</v>
      </c>
      <c r="BQ138">
        <v>-0.1102835758346942</v>
      </c>
    </row>
    <row r="139" spans="1:69" x14ac:dyDescent="0.25">
      <c r="A139" t="s">
        <v>3288</v>
      </c>
      <c r="B139" t="s">
        <v>3289</v>
      </c>
      <c r="C139" t="s">
        <v>3023</v>
      </c>
      <c r="D139" t="s">
        <v>3024</v>
      </c>
    </row>
    <row r="140" spans="1:69" x14ac:dyDescent="0.25">
      <c r="A140" t="s">
        <v>3290</v>
      </c>
      <c r="B140" t="s">
        <v>3291</v>
      </c>
      <c r="C140" t="s">
        <v>3023</v>
      </c>
      <c r="D140" t="s">
        <v>3024</v>
      </c>
    </row>
    <row r="141" spans="1:69" x14ac:dyDescent="0.25">
      <c r="A141" t="s">
        <v>3292</v>
      </c>
      <c r="B141" t="s">
        <v>3293</v>
      </c>
      <c r="C141" t="s">
        <v>3023</v>
      </c>
      <c r="D141" t="s">
        <v>3024</v>
      </c>
    </row>
    <row r="142" spans="1:69" x14ac:dyDescent="0.25">
      <c r="A142" t="s">
        <v>3294</v>
      </c>
      <c r="B142" t="s">
        <v>3295</v>
      </c>
      <c r="C142" t="s">
        <v>3023</v>
      </c>
      <c r="D142" t="s">
        <v>3024</v>
      </c>
    </row>
    <row r="143" spans="1:69" x14ac:dyDescent="0.25">
      <c r="A143" t="s">
        <v>3296</v>
      </c>
      <c r="B143" t="s">
        <v>3297</v>
      </c>
      <c r="C143" t="s">
        <v>3023</v>
      </c>
      <c r="D143" t="s">
        <v>3024</v>
      </c>
      <c r="E143">
        <v>-1.544676806092006</v>
      </c>
      <c r="F143">
        <v>1.134443639799902</v>
      </c>
      <c r="G143">
        <v>1.503579952515488</v>
      </c>
      <c r="H143">
        <v>2.2729053999621369</v>
      </c>
      <c r="I143">
        <v>3.1956471760459211</v>
      </c>
      <c r="J143">
        <v>0.2227833062540214</v>
      </c>
      <c r="K143">
        <v>-0.15560165997384559</v>
      </c>
      <c r="L143">
        <v>2.1892393320351702</v>
      </c>
      <c r="M143">
        <v>5.8605664489857929</v>
      </c>
      <c r="N143">
        <v>7.456952733725756</v>
      </c>
      <c r="O143">
        <v>5.8669560776596752</v>
      </c>
      <c r="P143">
        <v>2.6653802085999092</v>
      </c>
      <c r="Q143">
        <v>6.3494860501361261</v>
      </c>
      <c r="R143">
        <v>9.6266431017112186</v>
      </c>
      <c r="S143">
        <v>12.30288679524724</v>
      </c>
      <c r="T143">
        <v>6.625992553209791</v>
      </c>
      <c r="U143">
        <v>1.3295186805823029</v>
      </c>
      <c r="V143">
        <v>1.2248795880284511</v>
      </c>
      <c r="W143">
        <v>12.141597276465999</v>
      </c>
      <c r="X143">
        <v>10.73192143087304</v>
      </c>
      <c r="Y143">
        <v>26.145410101446529</v>
      </c>
      <c r="Z143">
        <v>17.968995496010081</v>
      </c>
      <c r="AA143">
        <v>10.82574916756872</v>
      </c>
      <c r="AB143">
        <v>13.964388006500061</v>
      </c>
      <c r="AC143">
        <v>16.638253747921681</v>
      </c>
      <c r="AD143">
        <v>1.4811801223542931</v>
      </c>
      <c r="AE143">
        <v>7.9763619357062669</v>
      </c>
      <c r="AF143">
        <v>7.7171656055926947</v>
      </c>
      <c r="AG143">
        <v>13.991548900207549</v>
      </c>
      <c r="AH143">
        <v>11.56753608905581</v>
      </c>
      <c r="AI143">
        <v>21.495252052759021</v>
      </c>
      <c r="AJ143">
        <v>12.18563072143894</v>
      </c>
      <c r="AK143">
        <v>11.38343705122058</v>
      </c>
      <c r="AL143">
        <v>11.746737017494629</v>
      </c>
      <c r="AM143">
        <v>8.4487124869834762</v>
      </c>
      <c r="AN143">
        <v>7.6748487344980489</v>
      </c>
      <c r="AO143">
        <v>15.9358310447214</v>
      </c>
      <c r="AP143">
        <v>9.5736962640516197</v>
      </c>
      <c r="AQ143">
        <v>9.3642430068322948</v>
      </c>
      <c r="AR143">
        <v>4.6917056304843792</v>
      </c>
      <c r="AS143">
        <v>6.1762759101204496</v>
      </c>
      <c r="AT143">
        <v>14.15845579912002</v>
      </c>
      <c r="AU143">
        <v>9.5510316700725149</v>
      </c>
      <c r="AV143">
        <v>6.3146378705117447</v>
      </c>
      <c r="AW143">
        <v>7.575925829958563</v>
      </c>
      <c r="AX143">
        <v>11.639686097111831</v>
      </c>
      <c r="AY143">
        <v>10.02018360570346</v>
      </c>
      <c r="AZ143">
        <v>15.84211149248431</v>
      </c>
      <c r="BA143">
        <v>22.5644955300126</v>
      </c>
      <c r="BB143">
        <v>3.4649632210607422</v>
      </c>
      <c r="BC143">
        <v>6.2176488930462011</v>
      </c>
      <c r="BD143">
        <v>6.7167684358853998</v>
      </c>
      <c r="BE143">
        <v>7.5429137323943696</v>
      </c>
      <c r="BF143">
        <v>6.9084503482845214</v>
      </c>
      <c r="BG143">
        <v>3.179002282360595</v>
      </c>
      <c r="BH143">
        <v>3.768367830620964</v>
      </c>
      <c r="BI143">
        <v>3.9588884659306971</v>
      </c>
      <c r="BJ143">
        <v>7.7041376785060169</v>
      </c>
      <c r="BK143">
        <v>2.135037737132004</v>
      </c>
      <c r="BL143">
        <v>3.528393582318115</v>
      </c>
      <c r="BM143">
        <v>6.1539450839173764</v>
      </c>
      <c r="BN143">
        <v>7.0147807123819472</v>
      </c>
      <c r="BO143">
        <v>49.721102111432742</v>
      </c>
      <c r="BP143">
        <v>16.541174227983181</v>
      </c>
      <c r="BQ143">
        <v>-0.42936004906973008</v>
      </c>
    </row>
    <row r="144" spans="1:69" x14ac:dyDescent="0.25">
      <c r="A144" t="s">
        <v>3298</v>
      </c>
      <c r="B144" t="s">
        <v>3299</v>
      </c>
      <c r="C144" t="s">
        <v>3023</v>
      </c>
      <c r="D144" t="s">
        <v>3024</v>
      </c>
    </row>
    <row r="145" spans="1:69" x14ac:dyDescent="0.25">
      <c r="A145" t="s">
        <v>3300</v>
      </c>
      <c r="B145" t="s">
        <v>3301</v>
      </c>
      <c r="C145" t="s">
        <v>3023</v>
      </c>
      <c r="D145" t="s">
        <v>3024</v>
      </c>
    </row>
    <row r="146" spans="1:69" x14ac:dyDescent="0.25">
      <c r="A146" t="s">
        <v>3302</v>
      </c>
      <c r="B146" t="s">
        <v>3303</v>
      </c>
      <c r="C146" t="s">
        <v>3023</v>
      </c>
      <c r="D146" t="s">
        <v>3024</v>
      </c>
      <c r="S146">
        <v>13.422834516592379</v>
      </c>
      <c r="T146">
        <v>14.211939681942621</v>
      </c>
      <c r="U146">
        <v>11.412551998413569</v>
      </c>
      <c r="V146">
        <v>16.688311688555238</v>
      </c>
      <c r="W146">
        <v>13.48357901184893</v>
      </c>
      <c r="X146">
        <v>16.00355239774775</v>
      </c>
      <c r="Y146">
        <v>16.274841618253319</v>
      </c>
      <c r="Z146">
        <v>12.41326137239799</v>
      </c>
      <c r="AA146">
        <v>12.13991769547337</v>
      </c>
      <c r="AB146">
        <v>17.49235474006143</v>
      </c>
      <c r="AC146">
        <v>10.983862571577371</v>
      </c>
      <c r="AD146">
        <v>13.320825515947091</v>
      </c>
      <c r="AE146">
        <v>18.004966887417229</v>
      </c>
      <c r="AF146">
        <v>11.75026306559101</v>
      </c>
      <c r="AG146">
        <v>11.45637162586322</v>
      </c>
      <c r="AH146">
        <v>14.72824556462966</v>
      </c>
      <c r="AI146">
        <v>11.63475699558184</v>
      </c>
      <c r="AJ146">
        <v>17.678100263852269</v>
      </c>
      <c r="AK146">
        <v>17.20852017937208</v>
      </c>
      <c r="AL146">
        <v>13.13566076837237</v>
      </c>
      <c r="AM146">
        <v>8.2147386219530212</v>
      </c>
      <c r="AN146">
        <v>9.2708333333332291</v>
      </c>
      <c r="AO146">
        <v>9.3303145853192806</v>
      </c>
      <c r="AS146">
        <v>6.1319753872269551</v>
      </c>
      <c r="AT146">
        <v>-9.6161535385847206</v>
      </c>
      <c r="AU146">
        <v>33.812578338125959</v>
      </c>
      <c r="AV146">
        <v>6.62916357146762</v>
      </c>
      <c r="AW146">
        <v>5.0234206861628534</v>
      </c>
      <c r="AX146">
        <v>3.437884230574427</v>
      </c>
      <c r="AY146">
        <v>6.072718797342934</v>
      </c>
      <c r="AZ146">
        <v>8.0124366904340896</v>
      </c>
      <c r="BA146">
        <v>10.71566613096811</v>
      </c>
      <c r="BB146">
        <v>-16.85969105406442</v>
      </c>
      <c r="BC146">
        <v>-2.405242545987059</v>
      </c>
      <c r="BD146">
        <v>5.0366305210156002</v>
      </c>
      <c r="BE146">
        <v>6.0514366213996693</v>
      </c>
      <c r="BF146">
        <v>4.865118994963848</v>
      </c>
      <c r="BG146">
        <v>5.3702896100858721</v>
      </c>
      <c r="BH146">
        <v>3.2184451365593052</v>
      </c>
      <c r="BI146">
        <v>6.5965049069654338</v>
      </c>
      <c r="BJ146">
        <v>4.4476993737630046</v>
      </c>
      <c r="BK146">
        <v>4.7518030162473961</v>
      </c>
      <c r="BL146">
        <v>5.1870835919798184</v>
      </c>
      <c r="BM146">
        <v>4.9780967625230916</v>
      </c>
      <c r="BN146">
        <v>6.047745919506756</v>
      </c>
      <c r="BO146">
        <v>8.2718038994302798</v>
      </c>
      <c r="BP146">
        <v>6.342217431249531</v>
      </c>
      <c r="BQ146">
        <v>6.1054462424503173</v>
      </c>
    </row>
    <row r="147" spans="1:69" x14ac:dyDescent="0.25">
      <c r="A147" t="s">
        <v>3304</v>
      </c>
      <c r="B147" t="s">
        <v>3305</v>
      </c>
      <c r="C147" t="s">
        <v>3023</v>
      </c>
      <c r="D147" t="s">
        <v>3024</v>
      </c>
    </row>
    <row r="148" spans="1:69" x14ac:dyDescent="0.25">
      <c r="A148" t="s">
        <v>3306</v>
      </c>
      <c r="B148" t="s">
        <v>3307</v>
      </c>
      <c r="C148" t="s">
        <v>3023</v>
      </c>
      <c r="D148" t="s">
        <v>3024</v>
      </c>
      <c r="AK148">
        <v>1020.620565243536</v>
      </c>
      <c r="AL148">
        <v>410.45185856131633</v>
      </c>
      <c r="AM148">
        <v>72.254681616442824</v>
      </c>
      <c r="AN148">
        <v>39.647629032828938</v>
      </c>
      <c r="AO148">
        <v>24.625195386449999</v>
      </c>
      <c r="AP148">
        <v>8.8810484846589208</v>
      </c>
      <c r="AQ148">
        <v>5.0675538584196831</v>
      </c>
      <c r="AR148">
        <v>0.72755062655742375</v>
      </c>
      <c r="AS148">
        <v>0.98161547885759781</v>
      </c>
      <c r="AT148">
        <v>1.3671203081781911</v>
      </c>
      <c r="AU148">
        <v>0.28150661034557528</v>
      </c>
      <c r="AV148">
        <v>-1.134308549902469</v>
      </c>
      <c r="AW148">
        <v>1.164102521046706</v>
      </c>
      <c r="AX148">
        <v>2.6584848406526169</v>
      </c>
      <c r="AY148">
        <v>3.7391200406066392</v>
      </c>
      <c r="AZ148">
        <v>5.7371738279984248</v>
      </c>
      <c r="BA148">
        <v>10.925885624165501</v>
      </c>
      <c r="BB148">
        <v>4.4530445651853521</v>
      </c>
      <c r="BC148">
        <v>1.319213620554631</v>
      </c>
      <c r="BD148">
        <v>4.1302756264508522</v>
      </c>
      <c r="BE148">
        <v>3.089982770554172</v>
      </c>
      <c r="BF148">
        <v>1.04747937065344</v>
      </c>
      <c r="BG148">
        <v>0.1037580094337085</v>
      </c>
      <c r="BH148">
        <v>-0.8840974055005959</v>
      </c>
      <c r="BI148">
        <v>0.905525075460342</v>
      </c>
      <c r="BJ148">
        <v>3.7228886230370741</v>
      </c>
      <c r="BK148">
        <v>2.6979277920839362</v>
      </c>
      <c r="BL148">
        <v>2.3345093798802652</v>
      </c>
      <c r="BM148">
        <v>1.1998944498356869</v>
      </c>
      <c r="BN148">
        <v>4.6835442090345314</v>
      </c>
      <c r="BO148">
        <v>19.70504615183939</v>
      </c>
      <c r="BP148">
        <v>9.1173196239047485</v>
      </c>
      <c r="BQ148">
        <v>0.71573583522872319</v>
      </c>
    </row>
    <row r="149" spans="1:69" x14ac:dyDescent="0.25">
      <c r="A149" t="s">
        <v>3308</v>
      </c>
      <c r="B149" t="s">
        <v>3309</v>
      </c>
      <c r="C149" t="s">
        <v>3023</v>
      </c>
      <c r="D149" t="s">
        <v>3024</v>
      </c>
      <c r="E149">
        <v>0.44962029638985701</v>
      </c>
      <c r="F149">
        <v>0.48243359063082047</v>
      </c>
      <c r="G149">
        <v>0.89594664733989682</v>
      </c>
      <c r="H149">
        <v>2.8763224621266841</v>
      </c>
      <c r="I149">
        <v>3.096381512457357</v>
      </c>
      <c r="J149">
        <v>3.3336793292935298</v>
      </c>
      <c r="K149">
        <v>3.3316797725456242</v>
      </c>
      <c r="L149">
        <v>2.1661569873984918</v>
      </c>
      <c r="M149">
        <v>2.6254290896315311</v>
      </c>
      <c r="N149">
        <v>2.2944343704716461</v>
      </c>
      <c r="O149">
        <v>4.6393534438994806</v>
      </c>
      <c r="P149">
        <v>4.6722149804139699</v>
      </c>
      <c r="Q149">
        <v>5.2256805055554807</v>
      </c>
      <c r="R149">
        <v>6.0680983591020299</v>
      </c>
      <c r="S149">
        <v>9.540655416605933</v>
      </c>
      <c r="T149">
        <v>10.717671133919669</v>
      </c>
      <c r="U149">
        <v>9.7973464371629628</v>
      </c>
      <c r="V149">
        <v>6.7054941145066609</v>
      </c>
      <c r="W149">
        <v>3.0946607742464809</v>
      </c>
      <c r="X149">
        <v>4.5465277904216466</v>
      </c>
      <c r="Y149">
        <v>6.2999000624459258</v>
      </c>
      <c r="Z149">
        <v>8.0729437593459537</v>
      </c>
      <c r="AA149">
        <v>9.3570509942738163</v>
      </c>
      <c r="AB149">
        <v>8.6692715980852224</v>
      </c>
      <c r="AC149">
        <v>6.4358578078699331</v>
      </c>
      <c r="AD149">
        <v>4.093587785300925</v>
      </c>
      <c r="AE149">
        <v>0.29456340854543561</v>
      </c>
      <c r="AF149">
        <v>-5.6662909389104392E-2</v>
      </c>
      <c r="AG149">
        <v>1.4365905663490419</v>
      </c>
      <c r="AH149">
        <v>3.3709588729044269</v>
      </c>
      <c r="AI149">
        <v>3.2537665908363942</v>
      </c>
      <c r="AJ149">
        <v>3.1183565987485071</v>
      </c>
      <c r="AK149">
        <v>3.1541737596178918</v>
      </c>
      <c r="AL149">
        <v>3.588098185351642</v>
      </c>
      <c r="AM149">
        <v>2.1947646868907009</v>
      </c>
      <c r="AN149">
        <v>1.8676942496910509</v>
      </c>
      <c r="AO149">
        <v>1.183859688435708</v>
      </c>
      <c r="AP149">
        <v>1.367512612079427</v>
      </c>
      <c r="AQ149">
        <v>0.95857011049467389</v>
      </c>
      <c r="AR149">
        <v>1.0251967647493221</v>
      </c>
      <c r="AS149">
        <v>3.1507670702259198</v>
      </c>
      <c r="AT149">
        <v>2.663821105791027</v>
      </c>
      <c r="AU149">
        <v>2.0740861357164251</v>
      </c>
      <c r="AV149">
        <v>2.0498403056351808</v>
      </c>
      <c r="AW149">
        <v>2.22567916428889</v>
      </c>
      <c r="AX149">
        <v>2.4876966516408778</v>
      </c>
      <c r="AY149">
        <v>2.6663149457706901</v>
      </c>
      <c r="AZ149">
        <v>2.3124586178612732</v>
      </c>
      <c r="BA149">
        <v>3.4018796302557099</v>
      </c>
      <c r="BB149">
        <v>0.36804199788888731</v>
      </c>
      <c r="BC149">
        <v>2.2736791162154022</v>
      </c>
      <c r="BD149">
        <v>3.4106834106834212</v>
      </c>
      <c r="BE149">
        <v>2.6628416550802121</v>
      </c>
      <c r="BF149">
        <v>1.7340396351916221</v>
      </c>
      <c r="BG149">
        <v>0.62854398544071655</v>
      </c>
      <c r="BH149">
        <v>0.47474316143777878</v>
      </c>
      <c r="BI149">
        <v>0.29083333333331718</v>
      </c>
      <c r="BJ149">
        <v>1.7307995911888721</v>
      </c>
      <c r="BK149">
        <v>1.5281952430737951</v>
      </c>
      <c r="BL149">
        <v>1.743320756538483</v>
      </c>
      <c r="BM149">
        <v>0.81995730212703555</v>
      </c>
      <c r="BN149">
        <v>2.52692009066166</v>
      </c>
      <c r="BO149">
        <v>6.336008077779189</v>
      </c>
      <c r="BP149">
        <v>3.7414036198313552</v>
      </c>
      <c r="BQ149">
        <v>2.051132699548591</v>
      </c>
    </row>
    <row r="150" spans="1:69" x14ac:dyDescent="0.25">
      <c r="A150" t="s">
        <v>3310</v>
      </c>
      <c r="B150" t="s">
        <v>3311</v>
      </c>
      <c r="C150" t="s">
        <v>3023</v>
      </c>
      <c r="D150" t="s">
        <v>3024</v>
      </c>
      <c r="AK150">
        <v>951.69619487080115</v>
      </c>
      <c r="AL150">
        <v>108.9895406243227</v>
      </c>
      <c r="AM150">
        <v>35.924705392964327</v>
      </c>
      <c r="AN150">
        <v>24.975935531674931</v>
      </c>
      <c r="AO150">
        <v>17.610469843103271</v>
      </c>
      <c r="AP150">
        <v>8.4473834209296079</v>
      </c>
      <c r="AQ150">
        <v>4.6442142266078283</v>
      </c>
      <c r="AR150">
        <v>2.3648183611180511</v>
      </c>
      <c r="AS150">
        <v>2.6542547779604782</v>
      </c>
      <c r="AT150">
        <v>2.4870400355546369</v>
      </c>
      <c r="AU150">
        <v>1.9388757385588631</v>
      </c>
      <c r="AV150">
        <v>2.94264752948478</v>
      </c>
      <c r="AW150">
        <v>6.1923854719742906</v>
      </c>
      <c r="AX150">
        <v>6.7484502789312444</v>
      </c>
      <c r="AY150">
        <v>6.5361990876587193</v>
      </c>
      <c r="AZ150">
        <v>10.09297758491685</v>
      </c>
      <c r="BA150">
        <v>15.40231910649862</v>
      </c>
      <c r="BB150">
        <v>3.5341067285893448</v>
      </c>
      <c r="BC150">
        <v>-1.084635950151549</v>
      </c>
      <c r="BD150">
        <v>4.3707355993922308</v>
      </c>
      <c r="BE150">
        <v>2.2577892437458522</v>
      </c>
      <c r="BF150">
        <v>-2.9454778257827951E-2</v>
      </c>
      <c r="BG150">
        <v>0.62049063673242122</v>
      </c>
      <c r="BH150">
        <v>0.17424224362518551</v>
      </c>
      <c r="BI150">
        <v>0.1406333345053265</v>
      </c>
      <c r="BJ150">
        <v>2.930363123746655</v>
      </c>
      <c r="BK150">
        <v>2.5344542418659808</v>
      </c>
      <c r="BL150">
        <v>2.8114092007562399</v>
      </c>
      <c r="BM150">
        <v>0.2190649048419849</v>
      </c>
      <c r="BN150">
        <v>3.2758293743116509</v>
      </c>
      <c r="BO150">
        <v>17.310283019881481</v>
      </c>
      <c r="BP150">
        <v>8.9380462331663004</v>
      </c>
      <c r="BQ150">
        <v>1.265798858287287</v>
      </c>
    </row>
    <row r="151" spans="1:69" x14ac:dyDescent="0.25">
      <c r="A151" t="s">
        <v>3312</v>
      </c>
      <c r="B151" t="s">
        <v>3313</v>
      </c>
      <c r="C151" t="s">
        <v>3023</v>
      </c>
      <c r="D151" t="s">
        <v>3024</v>
      </c>
      <c r="AH151">
        <v>8.7709455415918107</v>
      </c>
      <c r="AI151">
        <v>7.9696938436322142</v>
      </c>
      <c r="AJ151">
        <v>9.568877659348404</v>
      </c>
      <c r="AK151">
        <v>7.7139216835661069</v>
      </c>
      <c r="AL151">
        <v>6.7058855277004286</v>
      </c>
      <c r="AM151">
        <v>6.2520689021027174</v>
      </c>
      <c r="AN151">
        <v>8.5586660430844717</v>
      </c>
      <c r="AO151">
        <v>4.8224867678348726</v>
      </c>
      <c r="AP151">
        <v>3.4909371513885499</v>
      </c>
      <c r="AQ151">
        <v>0.17263038456851601</v>
      </c>
      <c r="AR151">
        <v>-3.20416248186587</v>
      </c>
      <c r="AS151">
        <v>-1.609718839618973</v>
      </c>
      <c r="AT151">
        <v>-1.9846500864164589</v>
      </c>
      <c r="AU151">
        <v>-2.6375169981619768</v>
      </c>
      <c r="AV151">
        <v>-1.5624520367130481</v>
      </c>
      <c r="AW151">
        <v>0.98072845203945069</v>
      </c>
      <c r="AX151">
        <v>4.3958928433567417</v>
      </c>
      <c r="AY151">
        <v>5.1499733775069201</v>
      </c>
      <c r="AZ151">
        <v>5.5714968914395184</v>
      </c>
      <c r="BA151">
        <v>8.6110185863699975</v>
      </c>
      <c r="BB151">
        <v>1.1690669545376671</v>
      </c>
      <c r="BC151">
        <v>2.8094724206084312</v>
      </c>
      <c r="BD151">
        <v>5.8062461669104319</v>
      </c>
      <c r="BE151">
        <v>6.1073892833654941</v>
      </c>
      <c r="BF151">
        <v>5.500577791784842</v>
      </c>
      <c r="BG151">
        <v>6.0482345209407606</v>
      </c>
      <c r="BH151">
        <v>4.5605633802817254</v>
      </c>
      <c r="BI151">
        <v>2.3689574970589811</v>
      </c>
      <c r="BJ151">
        <v>1.228124040528088</v>
      </c>
      <c r="BK151">
        <v>3.0044629316695279</v>
      </c>
      <c r="BL151">
        <v>2.7519308105197511</v>
      </c>
      <c r="BM151">
        <v>0.81141051149151233</v>
      </c>
      <c r="BN151">
        <v>2.645436470555038E-2</v>
      </c>
      <c r="BO151">
        <v>1.0450280236995351</v>
      </c>
      <c r="BP151">
        <v>0.4763844957880754</v>
      </c>
      <c r="BQ151">
        <v>0.67249859885436514</v>
      </c>
    </row>
    <row r="152" spans="1:69" x14ac:dyDescent="0.25">
      <c r="A152" t="s">
        <v>3314</v>
      </c>
      <c r="B152" t="s">
        <v>3315</v>
      </c>
      <c r="C152" t="s">
        <v>3023</v>
      </c>
      <c r="D152" t="s">
        <v>3024</v>
      </c>
    </row>
    <row r="153" spans="1:69" x14ac:dyDescent="0.25">
      <c r="A153" t="s">
        <v>3316</v>
      </c>
      <c r="B153" t="s">
        <v>3317</v>
      </c>
      <c r="C153" t="s">
        <v>3023</v>
      </c>
      <c r="D153" t="s">
        <v>3024</v>
      </c>
      <c r="E153">
        <v>3.42429906542058</v>
      </c>
      <c r="F153">
        <v>1.7631246049345219</v>
      </c>
      <c r="G153">
        <v>5.0967290813814818</v>
      </c>
      <c r="H153">
        <v>5.6997116874522176</v>
      </c>
      <c r="I153">
        <v>4.0215414742121274</v>
      </c>
      <c r="J153">
        <v>3.4828212200169042</v>
      </c>
      <c r="K153">
        <v>-1.0135793646963971</v>
      </c>
      <c r="L153">
        <v>-0.7482769938977154</v>
      </c>
      <c r="M153">
        <v>0.4364790690445246</v>
      </c>
      <c r="N153">
        <v>2.949891354392415</v>
      </c>
      <c r="O153">
        <v>1.2791813237647629</v>
      </c>
      <c r="P153">
        <v>4.1553520683533014</v>
      </c>
      <c r="Q153">
        <v>3.7591705572226348</v>
      </c>
      <c r="R153">
        <v>4.0846140361297252</v>
      </c>
      <c r="S153">
        <v>17.55682274524543</v>
      </c>
      <c r="T153">
        <v>7.9182892670274088</v>
      </c>
      <c r="U153">
        <v>8.5021524434930331</v>
      </c>
      <c r="V153">
        <v>12.597000992006929</v>
      </c>
      <c r="W153">
        <v>9.7160327495434036</v>
      </c>
      <c r="X153">
        <v>8.3313654181546184</v>
      </c>
      <c r="Y153">
        <v>9.4083794743795597</v>
      </c>
      <c r="Z153">
        <v>12.492528392100059</v>
      </c>
      <c r="AA153">
        <v>10.52780729729832</v>
      </c>
      <c r="AB153">
        <v>6.2079353887031337</v>
      </c>
      <c r="AC153">
        <v>12.447569329185329</v>
      </c>
      <c r="AD153">
        <v>7.7286389008592016</v>
      </c>
      <c r="AE153">
        <v>8.7335591870667457</v>
      </c>
      <c r="AF153">
        <v>2.6987399771376732</v>
      </c>
      <c r="AG153">
        <v>2.3690550548764109</v>
      </c>
      <c r="AH153">
        <v>3.2599694922639042</v>
      </c>
      <c r="AI153">
        <v>6.7825940151100603</v>
      </c>
      <c r="AJ153">
        <v>7.9861660079051191</v>
      </c>
      <c r="AK153">
        <v>5.7402466286873999</v>
      </c>
      <c r="AL153">
        <v>5.183113960308015</v>
      </c>
      <c r="AM153">
        <v>5.1416715295336148</v>
      </c>
      <c r="AN153">
        <v>6.1235816477552323</v>
      </c>
      <c r="AO153">
        <v>2.9868092277301672</v>
      </c>
      <c r="AP153">
        <v>1.038198950516136</v>
      </c>
      <c r="AQ153">
        <v>2.7531133076447709</v>
      </c>
      <c r="AR153">
        <v>0.68478260869564278</v>
      </c>
      <c r="AS153">
        <v>1.894634567634643</v>
      </c>
      <c r="AT153">
        <v>0.61980187529797515</v>
      </c>
      <c r="AU153">
        <v>2.7956196693693629</v>
      </c>
      <c r="AV153">
        <v>1.1677336747759239</v>
      </c>
      <c r="AW153">
        <v>1.4934440338177439</v>
      </c>
      <c r="AX153">
        <v>0.98264166001595055</v>
      </c>
      <c r="AY153">
        <v>3.284761669548109</v>
      </c>
      <c r="AZ153">
        <v>2.0420851267334421</v>
      </c>
      <c r="BA153">
        <v>3.714843114940642</v>
      </c>
      <c r="BB153">
        <v>0.97186299866763626</v>
      </c>
      <c r="BC153">
        <v>0.99355740122639224</v>
      </c>
      <c r="BD153">
        <v>0.90692490969179995</v>
      </c>
      <c r="BE153">
        <v>1.287122400792192</v>
      </c>
      <c r="BF153">
        <v>1.8806546672408591</v>
      </c>
      <c r="BG153">
        <v>0.44231005355704789</v>
      </c>
      <c r="BH153">
        <v>1.5579071134626019</v>
      </c>
      <c r="BI153">
        <v>1.6353111432706431</v>
      </c>
      <c r="BJ153">
        <v>0.7546632493236185</v>
      </c>
      <c r="BK153">
        <v>1.8039167114189589</v>
      </c>
      <c r="BL153">
        <v>0.30338603659038332</v>
      </c>
      <c r="BM153">
        <v>0.70596866133826075</v>
      </c>
      <c r="BN153">
        <v>1.4019588396200591</v>
      </c>
      <c r="BO153">
        <v>6.657042027590669</v>
      </c>
      <c r="BP153">
        <v>6.091141525041408</v>
      </c>
      <c r="BQ153">
        <v>0.98525659200450688</v>
      </c>
    </row>
    <row r="154" spans="1:69" x14ac:dyDescent="0.25">
      <c r="A154" t="s">
        <v>3318</v>
      </c>
      <c r="B154" t="s">
        <v>3319</v>
      </c>
      <c r="C154" t="s">
        <v>3023</v>
      </c>
      <c r="D154" t="s">
        <v>3024</v>
      </c>
    </row>
    <row r="155" spans="1:69" x14ac:dyDescent="0.25">
      <c r="A155" t="s">
        <v>3320</v>
      </c>
      <c r="B155" t="s">
        <v>3321</v>
      </c>
      <c r="C155" t="s">
        <v>3023</v>
      </c>
      <c r="D155" t="s">
        <v>3024</v>
      </c>
      <c r="AK155">
        <v>1026.826264247019</v>
      </c>
      <c r="AL155">
        <v>1613.603988761939</v>
      </c>
      <c r="AM155">
        <v>486.42562379589032</v>
      </c>
      <c r="AN155">
        <v>29.865610409571769</v>
      </c>
      <c r="AO155">
        <v>23.505677296336849</v>
      </c>
      <c r="AP155">
        <v>11.772832449446719</v>
      </c>
      <c r="AQ155">
        <v>7.6957651751720828</v>
      </c>
      <c r="AR155">
        <v>39.255980689174528</v>
      </c>
      <c r="AS155">
        <v>31.299301581778359</v>
      </c>
      <c r="AT155">
        <v>9.7646628575762993</v>
      </c>
      <c r="AU155">
        <v>5.3012439026158731</v>
      </c>
      <c r="AV155">
        <v>11.74607920582338</v>
      </c>
      <c r="AW155">
        <v>12.52427684282276</v>
      </c>
      <c r="AX155">
        <v>11.9591837222127</v>
      </c>
      <c r="AY155">
        <v>12.777755783035101</v>
      </c>
      <c r="AZ155">
        <v>12.36716684143016</v>
      </c>
      <c r="BA155">
        <v>12.783047261881951</v>
      </c>
      <c r="BB155">
        <v>-6.2718596710889932E-2</v>
      </c>
      <c r="BC155">
        <v>7.4838508635085077</v>
      </c>
      <c r="BD155">
        <v>7.6872510335618998</v>
      </c>
      <c r="BE155">
        <v>4.5463342735530166</v>
      </c>
      <c r="BF155">
        <v>4.597878973631266</v>
      </c>
      <c r="BG155">
        <v>5.0887855462586939</v>
      </c>
      <c r="BH155">
        <v>9.6762403310185903</v>
      </c>
      <c r="BI155">
        <v>6.3593089803793141</v>
      </c>
      <c r="BJ155">
        <v>6.5702299745561143</v>
      </c>
      <c r="BK155">
        <v>3.0450539733707052</v>
      </c>
      <c r="BL155">
        <v>4.8377835142872767</v>
      </c>
      <c r="BM155">
        <v>3.7659712224535098</v>
      </c>
      <c r="BN155">
        <v>5.1064112900283503</v>
      </c>
      <c r="BO155">
        <v>28.73729767662353</v>
      </c>
      <c r="BP155">
        <v>13.417010438129941</v>
      </c>
      <c r="BQ155">
        <v>4.6777351600705153</v>
      </c>
    </row>
    <row r="156" spans="1:69" x14ac:dyDescent="0.25">
      <c r="A156" t="s">
        <v>3322</v>
      </c>
      <c r="B156" t="s">
        <v>3323</v>
      </c>
      <c r="C156" t="s">
        <v>3023</v>
      </c>
      <c r="D156" t="s">
        <v>3024</v>
      </c>
      <c r="J156">
        <v>4.2018603658944151</v>
      </c>
      <c r="K156">
        <v>3.211573978975542</v>
      </c>
      <c r="L156">
        <v>0.81519037668078675</v>
      </c>
      <c r="M156">
        <v>0.95651316448554347</v>
      </c>
      <c r="N156">
        <v>3.828872826836593</v>
      </c>
      <c r="O156">
        <v>2.878645343187932</v>
      </c>
      <c r="P156">
        <v>5.3858814924349456</v>
      </c>
      <c r="Q156">
        <v>5.6225596527747967</v>
      </c>
      <c r="R156">
        <v>6.1201018646477969</v>
      </c>
      <c r="S156">
        <v>22.100944418778031</v>
      </c>
      <c r="T156">
        <v>8.1912128321592874</v>
      </c>
      <c r="U156">
        <v>4.9868151186257093</v>
      </c>
      <c r="V156">
        <v>3.1089528912842632</v>
      </c>
      <c r="W156">
        <v>6.528446922617972</v>
      </c>
      <c r="X156">
        <v>14.05559225555157</v>
      </c>
      <c r="Y156">
        <v>18.217865894675569</v>
      </c>
      <c r="Z156">
        <v>30.5381774327711</v>
      </c>
      <c r="AA156">
        <v>31.78970465105354</v>
      </c>
      <c r="AB156">
        <v>19.328338591095001</v>
      </c>
      <c r="AC156">
        <v>9.8566209543388865</v>
      </c>
      <c r="AD156">
        <v>10.55648395736188</v>
      </c>
      <c r="AE156">
        <v>14.4973321039129</v>
      </c>
      <c r="AF156">
        <v>14.99313513225024</v>
      </c>
      <c r="AG156">
        <v>26.85379714138119</v>
      </c>
      <c r="AH156">
        <v>9.0129959455550086</v>
      </c>
      <c r="AI156">
        <v>11.784483832135679</v>
      </c>
      <c r="AJ156">
        <v>8.5926476049019218</v>
      </c>
      <c r="AK156">
        <v>14.512378607577149</v>
      </c>
      <c r="AL156">
        <v>10.008361204014021</v>
      </c>
      <c r="AM156">
        <v>38.941790898923948</v>
      </c>
      <c r="AN156">
        <v>49.080210059078397</v>
      </c>
      <c r="AO156">
        <v>19.756354543977601</v>
      </c>
      <c r="AP156">
        <v>4.4863826173739882</v>
      </c>
      <c r="AQ156">
        <v>6.208016086633199</v>
      </c>
      <c r="AR156">
        <v>9.9295339934878069</v>
      </c>
      <c r="AS156">
        <v>11.85968450002796</v>
      </c>
      <c r="AT156">
        <v>7.9169448452958591</v>
      </c>
      <c r="AU156">
        <v>16.49852553158463</v>
      </c>
      <c r="AV156">
        <v>-1.704004796162977</v>
      </c>
      <c r="AW156">
        <v>13.95580180332114</v>
      </c>
      <c r="AX156">
        <v>18.36382464689321</v>
      </c>
      <c r="AY156">
        <v>10.76563715548655</v>
      </c>
      <c r="AZ156">
        <v>10.28796631876714</v>
      </c>
      <c r="BA156">
        <v>9.2965083938105693</v>
      </c>
      <c r="BB156">
        <v>8.9542180239294922</v>
      </c>
      <c r="BC156">
        <v>9.2473217364411617</v>
      </c>
      <c r="BD156">
        <v>9.4825404858299223</v>
      </c>
      <c r="BE156">
        <v>5.7138443419105327</v>
      </c>
      <c r="BF156">
        <v>5.8264294445198033</v>
      </c>
      <c r="BG156">
        <v>6.0804081108830212</v>
      </c>
      <c r="BH156">
        <v>7.4041917420212924</v>
      </c>
      <c r="BI156">
        <v>6.035758581546788</v>
      </c>
      <c r="BJ156">
        <v>8.6090507542294947</v>
      </c>
      <c r="BK156">
        <v>8.5942295887047564</v>
      </c>
      <c r="BL156">
        <v>5.6105144149236468</v>
      </c>
      <c r="BM156">
        <v>4.201793121905574</v>
      </c>
      <c r="BN156">
        <v>5.8122511878771501</v>
      </c>
      <c r="BO156">
        <v>8.1605903199184393</v>
      </c>
      <c r="BP156">
        <v>9.8743267504488834</v>
      </c>
      <c r="BQ156">
        <v>7.6133578431372326</v>
      </c>
    </row>
    <row r="157" spans="1:69" x14ac:dyDescent="0.25">
      <c r="A157" t="s">
        <v>3324</v>
      </c>
      <c r="B157" t="s">
        <v>3325</v>
      </c>
      <c r="C157" t="s">
        <v>3023</v>
      </c>
      <c r="D157" t="s">
        <v>3024</v>
      </c>
      <c r="AE157">
        <v>9.7221932767856263</v>
      </c>
      <c r="AF157">
        <v>9.7040723294332007</v>
      </c>
      <c r="AG157">
        <v>6.4563602680194139</v>
      </c>
      <c r="AH157">
        <v>7.165858894707771</v>
      </c>
      <c r="AI157">
        <v>3.6499119771747668</v>
      </c>
      <c r="AJ157">
        <v>14.71367702827348</v>
      </c>
      <c r="AK157">
        <v>16.855997753554831</v>
      </c>
      <c r="AL157">
        <v>20.127359314924831</v>
      </c>
      <c r="AM157">
        <v>3.3861009829149258</v>
      </c>
      <c r="AN157">
        <v>5.488861331715043</v>
      </c>
      <c r="AO157">
        <v>6.2412459147602553</v>
      </c>
      <c r="AP157">
        <v>7.572834670725924</v>
      </c>
      <c r="AQ157">
        <v>-1.4042523381679231</v>
      </c>
      <c r="AR157">
        <v>2.9537083606912868</v>
      </c>
      <c r="AS157">
        <v>-1.1747568117594589</v>
      </c>
      <c r="AT157">
        <v>0.6725773700624702</v>
      </c>
      <c r="AU157">
        <v>4.1786723990478967</v>
      </c>
      <c r="AV157">
        <v>-1.2606511345035429</v>
      </c>
      <c r="AW157">
        <v>-1.6854121245946621</v>
      </c>
      <c r="AX157">
        <v>1.3002750093099711</v>
      </c>
      <c r="AY157">
        <v>2.738421316020986</v>
      </c>
      <c r="AZ157">
        <v>6.7947735393016799</v>
      </c>
      <c r="BA157">
        <v>12.04145835051081</v>
      </c>
      <c r="BB157">
        <v>4.5301765913280052</v>
      </c>
      <c r="BC157">
        <v>6.1498853675017342</v>
      </c>
      <c r="BD157">
        <v>11.2734146055937</v>
      </c>
      <c r="BE157">
        <v>10.884695658563031</v>
      </c>
      <c r="BF157">
        <v>3.8056300091942981</v>
      </c>
      <c r="BG157">
        <v>2.120001757181345</v>
      </c>
      <c r="BH157">
        <v>0.95320665877760669</v>
      </c>
      <c r="BI157">
        <v>0.50250941361161217</v>
      </c>
      <c r="BJ157">
        <v>2.817473382345089</v>
      </c>
      <c r="BK157">
        <v>-0.13337338611759469</v>
      </c>
      <c r="BL157">
        <v>0.2200297310653834</v>
      </c>
      <c r="BM157">
        <v>-1.3697742556981081</v>
      </c>
      <c r="BN157">
        <v>0.54314968873701275</v>
      </c>
      <c r="BO157">
        <v>2.3331433762456748</v>
      </c>
      <c r="BP157">
        <v>2.9274654242503511</v>
      </c>
      <c r="BQ157">
        <v>1.399797796749283</v>
      </c>
    </row>
    <row r="158" spans="1:69" x14ac:dyDescent="0.25">
      <c r="A158" t="s">
        <v>3326</v>
      </c>
      <c r="B158" t="s">
        <v>3327</v>
      </c>
      <c r="C158" t="s">
        <v>3023</v>
      </c>
      <c r="D158" t="s">
        <v>3024</v>
      </c>
    </row>
    <row r="159" spans="1:69" x14ac:dyDescent="0.25">
      <c r="A159" t="s">
        <v>3328</v>
      </c>
      <c r="B159" t="s">
        <v>3329</v>
      </c>
      <c r="C159" t="s">
        <v>3023</v>
      </c>
      <c r="D159" t="s">
        <v>3024</v>
      </c>
      <c r="E159">
        <v>4.9275188690311618</v>
      </c>
      <c r="F159">
        <v>1.6087596908193</v>
      </c>
      <c r="G159">
        <v>1.1989841781508159</v>
      </c>
      <c r="H159">
        <v>0.59405500846196535</v>
      </c>
      <c r="I159">
        <v>2.3379031723436179</v>
      </c>
      <c r="J159">
        <v>3.5680386574293639</v>
      </c>
      <c r="K159">
        <v>4.215788377384353</v>
      </c>
      <c r="L159">
        <v>3.0169484750214761</v>
      </c>
      <c r="M159">
        <v>2.333950934670264</v>
      </c>
      <c r="N159">
        <v>3.3670033671167761</v>
      </c>
      <c r="O159">
        <v>5.0034120548343113</v>
      </c>
      <c r="P159">
        <v>5.4690289937683829</v>
      </c>
      <c r="Q159">
        <v>4.9436923637787507</v>
      </c>
      <c r="R159">
        <v>12.081939461293819</v>
      </c>
      <c r="S159">
        <v>23.784015442578699</v>
      </c>
      <c r="T159">
        <v>14.94453464092671</v>
      </c>
      <c r="U159">
        <v>15.82472248934705</v>
      </c>
      <c r="V159">
        <v>29.0641247103461</v>
      </c>
      <c r="W159">
        <v>17.457292567826482</v>
      </c>
      <c r="X159">
        <v>18.191246298764309</v>
      </c>
      <c r="Y159">
        <v>26.35165135628344</v>
      </c>
      <c r="Z159">
        <v>27.933762598239898</v>
      </c>
      <c r="AA159">
        <v>58.913419853104841</v>
      </c>
      <c r="AB159">
        <v>101.87493843599189</v>
      </c>
      <c r="AC159">
        <v>65.448807127760176</v>
      </c>
      <c r="AD159">
        <v>57.748448400870217</v>
      </c>
      <c r="AE159">
        <v>86.233316992353835</v>
      </c>
      <c r="AF159">
        <v>131.82738392308951</v>
      </c>
      <c r="AG159">
        <v>114.1622585490656</v>
      </c>
      <c r="AH159">
        <v>20.007876713997781</v>
      </c>
      <c r="AI159">
        <v>26.65167256467706</v>
      </c>
      <c r="AJ159">
        <v>22.66235945506099</v>
      </c>
      <c r="AK159">
        <v>15.507896253357289</v>
      </c>
      <c r="AL159">
        <v>9.7514604535755254</v>
      </c>
      <c r="AM159">
        <v>6.965812371911233</v>
      </c>
      <c r="AN159">
        <v>34.999271288959221</v>
      </c>
      <c r="AO159">
        <v>34.378383223516757</v>
      </c>
      <c r="AP159">
        <v>20.62562872592471</v>
      </c>
      <c r="AQ159">
        <v>15.928395011935329</v>
      </c>
      <c r="AR159">
        <v>16.585616970753811</v>
      </c>
      <c r="AS159">
        <v>9.4915614943540252</v>
      </c>
      <c r="AT159">
        <v>6.3677380623503703</v>
      </c>
      <c r="AU159">
        <v>5.0307273315129528</v>
      </c>
      <c r="AV159">
        <v>4.5469001211871838</v>
      </c>
      <c r="AW159">
        <v>4.6884088484314272</v>
      </c>
      <c r="AX159">
        <v>3.9880571459743739</v>
      </c>
      <c r="AY159">
        <v>3.6294676243913209</v>
      </c>
      <c r="AZ159">
        <v>3.9668490545823532</v>
      </c>
      <c r="BA159">
        <v>5.1249827457589641</v>
      </c>
      <c r="BB159">
        <v>5.2973558422885576</v>
      </c>
      <c r="BC159">
        <v>4.1567272268017366</v>
      </c>
      <c r="BD159">
        <v>3.4073782460574211</v>
      </c>
      <c r="BE159">
        <v>4.111509810702894</v>
      </c>
      <c r="BF159">
        <v>3.8063906974720441</v>
      </c>
      <c r="BG159">
        <v>4.0186160807867868</v>
      </c>
      <c r="BH159">
        <v>2.7206406496402291</v>
      </c>
      <c r="BI159">
        <v>2.821707847476604</v>
      </c>
      <c r="BJ159">
        <v>6.0414572401898559</v>
      </c>
      <c r="BK159">
        <v>4.8993501535655071</v>
      </c>
      <c r="BL159">
        <v>3.6359614212704621</v>
      </c>
      <c r="BM159">
        <v>3.396834155700065</v>
      </c>
      <c r="BN159">
        <v>5.6892084768375328</v>
      </c>
      <c r="BO159">
        <v>7.8962761916854971</v>
      </c>
      <c r="BP159">
        <v>5.5279608731438881</v>
      </c>
      <c r="BQ159">
        <v>4.7222558845293161</v>
      </c>
    </row>
    <row r="160" spans="1:69" x14ac:dyDescent="0.25">
      <c r="A160" t="s">
        <v>3330</v>
      </c>
      <c r="B160" t="s">
        <v>3331</v>
      </c>
      <c r="C160" t="s">
        <v>3023</v>
      </c>
      <c r="D160" t="s">
        <v>3024</v>
      </c>
    </row>
    <row r="161" spans="1:69" x14ac:dyDescent="0.25">
      <c r="A161" t="s">
        <v>3332</v>
      </c>
      <c r="B161" t="s">
        <v>3333</v>
      </c>
      <c r="C161" t="s">
        <v>3023</v>
      </c>
      <c r="D161" t="s">
        <v>3024</v>
      </c>
    </row>
    <row r="162" spans="1:69" x14ac:dyDescent="0.25">
      <c r="A162" t="s">
        <v>3334</v>
      </c>
      <c r="B162" t="s">
        <v>3335</v>
      </c>
      <c r="C162" t="s">
        <v>3023</v>
      </c>
      <c r="D162" t="s">
        <v>3024</v>
      </c>
      <c r="AM162">
        <v>126.583368336245</v>
      </c>
      <c r="AN162">
        <v>16.37358897235686</v>
      </c>
      <c r="AO162">
        <v>2.4666000858291728</v>
      </c>
      <c r="AP162">
        <v>1.294364871550475</v>
      </c>
      <c r="AQ162">
        <v>0.54419965252307345</v>
      </c>
      <c r="AR162">
        <v>-1.279286575726275</v>
      </c>
      <c r="AS162">
        <v>6.6074229103853561</v>
      </c>
      <c r="AT162">
        <v>5.1988852574404811</v>
      </c>
      <c r="AU162">
        <v>2.3145979408321602</v>
      </c>
      <c r="AV162">
        <v>0.85556212272421883</v>
      </c>
      <c r="AW162">
        <v>-0.44865020655193422</v>
      </c>
      <c r="AX162">
        <v>0.52551595071424684</v>
      </c>
      <c r="AY162">
        <v>3.2136292960634489</v>
      </c>
      <c r="AZ162">
        <v>2.2517579830545</v>
      </c>
      <c r="BA162">
        <v>8.3318966696810808</v>
      </c>
      <c r="BB162">
        <v>-0.73963396306119233</v>
      </c>
      <c r="BC162">
        <v>1.509975220276131</v>
      </c>
      <c r="BD162">
        <v>3.9047542206974</v>
      </c>
      <c r="BE162">
        <v>3.316055666876466</v>
      </c>
      <c r="BF162">
        <v>2.7850005672610889</v>
      </c>
      <c r="BG162">
        <v>-0.28170503292849403</v>
      </c>
      <c r="BH162">
        <v>-0.29992047563146151</v>
      </c>
      <c r="BI162">
        <v>-0.23929078768450091</v>
      </c>
      <c r="BJ162">
        <v>1.3516188967744209</v>
      </c>
      <c r="BK162">
        <v>1.4583129850712631</v>
      </c>
      <c r="BL162">
        <v>0.76643957345980473</v>
      </c>
      <c r="BM162">
        <v>1.200073488884688</v>
      </c>
      <c r="BN162">
        <v>3.2307491213292781</v>
      </c>
      <c r="BO162">
        <v>14.204717319583271</v>
      </c>
      <c r="BP162">
        <v>9.3618724976901486</v>
      </c>
      <c r="BQ162">
        <v>3.4897408602695368</v>
      </c>
    </row>
    <row r="163" spans="1:69" x14ac:dyDescent="0.25">
      <c r="A163" t="s">
        <v>3336</v>
      </c>
      <c r="B163" t="s">
        <v>3337</v>
      </c>
      <c r="C163" t="s">
        <v>3023</v>
      </c>
      <c r="D163" t="s">
        <v>3024</v>
      </c>
      <c r="AH163">
        <v>-7.6692997928884052E-2</v>
      </c>
      <c r="AI163">
        <v>0.60633970373752255</v>
      </c>
      <c r="AJ163">
        <v>1.800427220018578</v>
      </c>
      <c r="AK163">
        <v>-6.2425059952042528</v>
      </c>
      <c r="AL163">
        <v>-0.26376788426180431</v>
      </c>
      <c r="AM163">
        <v>23.176791152428489</v>
      </c>
      <c r="AN163">
        <v>13.441769681197391</v>
      </c>
      <c r="AO163">
        <v>6.8054599678823324</v>
      </c>
      <c r="AP163">
        <v>-0.36299979594669463</v>
      </c>
      <c r="AQ163">
        <v>4.0365894595498633</v>
      </c>
      <c r="AR163">
        <v>-1.2019036863750161</v>
      </c>
      <c r="AS163">
        <v>-0.67766165904676945</v>
      </c>
      <c r="AT163">
        <v>5.1870119194406783</v>
      </c>
      <c r="AU163">
        <v>5.0328227571119353</v>
      </c>
      <c r="AV163">
        <v>-1.346726190476212</v>
      </c>
      <c r="AW163">
        <v>-3.099781280639569</v>
      </c>
      <c r="AX163">
        <v>6.3978829389788254</v>
      </c>
      <c r="AY163">
        <v>1.5435259692758241</v>
      </c>
      <c r="AZ163">
        <v>1.4120020171457679</v>
      </c>
      <c r="BA163">
        <v>9.170988136676776</v>
      </c>
      <c r="BB163">
        <v>2.463751885722989</v>
      </c>
      <c r="BC163">
        <v>1.108926906701861</v>
      </c>
      <c r="BD163">
        <v>2.9556439522939209</v>
      </c>
      <c r="BE163">
        <v>5.3231284706405768</v>
      </c>
      <c r="BF163">
        <v>-0.60673635635156298</v>
      </c>
      <c r="BG163">
        <v>0.88381454713784136</v>
      </c>
      <c r="BH163">
        <v>1.4506905760596081</v>
      </c>
      <c r="BI163">
        <v>-1.7996470708338581</v>
      </c>
      <c r="BJ163">
        <v>1.75985742927165</v>
      </c>
      <c r="BK163">
        <v>0.299546507387843</v>
      </c>
      <c r="BL163">
        <v>-1.658266948463649</v>
      </c>
      <c r="BM163">
        <v>0.43808894032066892</v>
      </c>
      <c r="BN163">
        <v>3.9256028310427671</v>
      </c>
      <c r="BO163">
        <v>9.621476084890638</v>
      </c>
      <c r="BP163">
        <v>2.058802282742227</v>
      </c>
      <c r="BQ163">
        <v>3.206398640996599</v>
      </c>
    </row>
    <row r="164" spans="1:69" x14ac:dyDescent="0.25">
      <c r="A164" t="s">
        <v>3338</v>
      </c>
      <c r="B164" t="s">
        <v>3339</v>
      </c>
      <c r="C164" t="s">
        <v>3023</v>
      </c>
      <c r="D164" t="s">
        <v>3024</v>
      </c>
      <c r="E164">
        <v>3.384615384615528</v>
      </c>
      <c r="F164">
        <v>2.5113215310069461</v>
      </c>
      <c r="G164">
        <v>0.16867469895763451</v>
      </c>
      <c r="H164">
        <v>1.8763531392126529</v>
      </c>
      <c r="I164">
        <v>2.18024399859687</v>
      </c>
      <c r="J164">
        <v>1.602218456101318</v>
      </c>
      <c r="K164">
        <v>0.5231235786995303</v>
      </c>
      <c r="L164">
        <v>0.69386831571304797</v>
      </c>
      <c r="M164">
        <v>2.0373005768227599</v>
      </c>
      <c r="N164">
        <v>2.334287601862175</v>
      </c>
      <c r="O164">
        <v>3.7156588480926271</v>
      </c>
      <c r="P164">
        <v>2.323812158388086</v>
      </c>
      <c r="Q164">
        <v>3.3727610678115512</v>
      </c>
      <c r="R164">
        <v>7.6892899178614851</v>
      </c>
      <c r="S164">
        <v>7.2556162720400748</v>
      </c>
      <c r="T164">
        <v>8.7916666661669058</v>
      </c>
      <c r="U164">
        <v>0.55151283025858322</v>
      </c>
      <c r="V164">
        <v>10.04037480023641</v>
      </c>
      <c r="W164">
        <v>4.7075112495148721</v>
      </c>
      <c r="X164">
        <v>7.1471074379789288</v>
      </c>
      <c r="Y164">
        <v>15.747254103486</v>
      </c>
      <c r="Z164">
        <v>11.509755837712341</v>
      </c>
      <c r="AA164">
        <v>5.8182339721866532</v>
      </c>
      <c r="AB164">
        <v>-0.88099756031750664</v>
      </c>
      <c r="AC164">
        <v>-0.44250000075007517</v>
      </c>
      <c r="AD164">
        <v>-0.23520745967747361</v>
      </c>
      <c r="AE164">
        <v>2.0278887141476081</v>
      </c>
      <c r="AF164">
        <v>0.43172566942244223</v>
      </c>
      <c r="AG164">
        <v>0.93834438712851476</v>
      </c>
      <c r="AH164">
        <v>0.8476913592262123</v>
      </c>
      <c r="AI164">
        <v>2.9834058606356022</v>
      </c>
      <c r="AJ164">
        <v>2.54219284786975</v>
      </c>
      <c r="AK164">
        <v>1.633212098890449</v>
      </c>
      <c r="AL164">
        <v>4.1448195418048837</v>
      </c>
      <c r="AM164">
        <v>4.1299218163825859</v>
      </c>
      <c r="AN164">
        <v>4.4266455028665419</v>
      </c>
      <c r="AO164">
        <v>2.0540000000000891</v>
      </c>
      <c r="AP164">
        <v>3.1120779195327231</v>
      </c>
      <c r="AQ164">
        <v>2.3852513541766109</v>
      </c>
      <c r="AR164">
        <v>2.134768888063856</v>
      </c>
      <c r="AS164">
        <v>2.369592875318062</v>
      </c>
      <c r="AT164">
        <v>2.9294924432410392</v>
      </c>
      <c r="AU164">
        <v>2.1884904806054868</v>
      </c>
      <c r="AV164">
        <v>1.303837774426015</v>
      </c>
      <c r="AW164">
        <v>2.7908284806775412</v>
      </c>
      <c r="AX164">
        <v>3.007966524503134</v>
      </c>
      <c r="AY164">
        <v>2.7737800648147228</v>
      </c>
      <c r="AZ164">
        <v>1.2492192379762921</v>
      </c>
      <c r="BA164">
        <v>4.2586217189707343</v>
      </c>
      <c r="BB164">
        <v>2.0843274608234261</v>
      </c>
      <c r="BC164">
        <v>1.515635136185318</v>
      </c>
      <c r="BD164">
        <v>2.9629852819288001</v>
      </c>
      <c r="BE164">
        <v>2.3758205776038621</v>
      </c>
      <c r="BF164">
        <v>1.180284363665502</v>
      </c>
      <c r="BG164">
        <v>0.31030647218166452</v>
      </c>
      <c r="BH164">
        <v>1.100548263789292</v>
      </c>
      <c r="BI164">
        <v>0.64270277152730426</v>
      </c>
      <c r="BJ164">
        <v>1.364354481507084</v>
      </c>
      <c r="BK164">
        <v>1.1578236245151701</v>
      </c>
      <c r="BL164">
        <v>1.642060017689402</v>
      </c>
      <c r="BM164">
        <v>0.63854495677671219</v>
      </c>
      <c r="BN164">
        <v>1.4978921793472411</v>
      </c>
      <c r="BO164">
        <v>6.1537562193303694</v>
      </c>
      <c r="BP164">
        <v>5.0939675897888259</v>
      </c>
      <c r="BQ164">
        <v>1.6507946928310879</v>
      </c>
    </row>
    <row r="165" spans="1:69" x14ac:dyDescent="0.25">
      <c r="A165" t="s">
        <v>3340</v>
      </c>
      <c r="B165" t="s">
        <v>3341</v>
      </c>
      <c r="C165" t="s">
        <v>3023</v>
      </c>
      <c r="D165" t="s">
        <v>3024</v>
      </c>
      <c r="E165">
        <v>7.3899371070349078</v>
      </c>
      <c r="F165">
        <v>-0.14641288287210269</v>
      </c>
      <c r="G165">
        <v>-1.6129032272725361</v>
      </c>
      <c r="H165">
        <v>-2.6825633383410339</v>
      </c>
      <c r="I165">
        <v>-0.45941806891995912</v>
      </c>
      <c r="J165">
        <v>17.69230769230747</v>
      </c>
      <c r="K165">
        <v>25.490196078431879</v>
      </c>
      <c r="L165">
        <v>0.83333333229158513</v>
      </c>
      <c r="M165">
        <v>2.3760330578756168</v>
      </c>
      <c r="N165">
        <v>-4.3390514632121544</v>
      </c>
      <c r="O165">
        <v>-4.0084388175527668</v>
      </c>
      <c r="P165">
        <v>2.0879120879118571</v>
      </c>
      <c r="Q165">
        <v>7.6426264800859318</v>
      </c>
      <c r="R165">
        <v>25.19999999925016</v>
      </c>
      <c r="S165">
        <v>25.21166134220385</v>
      </c>
      <c r="T165">
        <v>31.65566293480142</v>
      </c>
      <c r="U165">
        <v>22.384401699229201</v>
      </c>
      <c r="V165">
        <v>-1.156687242528637</v>
      </c>
      <c r="W165">
        <v>-6.0447061257026524</v>
      </c>
      <c r="X165">
        <v>5.6722950288782723</v>
      </c>
      <c r="Y165">
        <v>0.60815308389961364</v>
      </c>
      <c r="Z165">
        <v>0.31844473326591533</v>
      </c>
      <c r="AA165">
        <v>5.3047404053799259</v>
      </c>
      <c r="AB165">
        <v>5.6500833634543843</v>
      </c>
      <c r="AC165">
        <v>4.8463115476905276</v>
      </c>
      <c r="AD165">
        <v>6.8075665576833293</v>
      </c>
      <c r="AE165">
        <v>9.3254619000765171</v>
      </c>
      <c r="AF165">
        <v>24.759999999999941</v>
      </c>
      <c r="AG165">
        <v>16.042802180185561</v>
      </c>
      <c r="AH165">
        <v>27.198526449088789</v>
      </c>
      <c r="AI165">
        <v>17.626775031450379</v>
      </c>
      <c r="AJ165">
        <v>32.272038286641639</v>
      </c>
      <c r="AK165">
        <v>21.913210400791328</v>
      </c>
      <c r="AL165">
        <v>31.83160687276003</v>
      </c>
      <c r="AM165">
        <v>24.098786075701931</v>
      </c>
      <c r="AN165">
        <v>25.194712397284729</v>
      </c>
      <c r="AO165">
        <v>16.27539663773738</v>
      </c>
      <c r="AP165">
        <v>29.697232579152899</v>
      </c>
      <c r="AQ165">
        <v>51.487549750407887</v>
      </c>
      <c r="AR165">
        <v>18.401043374160871</v>
      </c>
      <c r="AS165">
        <v>-0.10916551466856469</v>
      </c>
      <c r="AT165">
        <v>21.101305376922959</v>
      </c>
      <c r="AU165">
        <v>57.074511262170311</v>
      </c>
      <c r="AV165">
        <v>36.589717532392442</v>
      </c>
      <c r="AW165">
        <v>4.5342137412969246</v>
      </c>
      <c r="AX165">
        <v>9.3686181419670387</v>
      </c>
      <c r="AY165">
        <v>19.99648733592144</v>
      </c>
      <c r="AZ165">
        <v>35.02459707176984</v>
      </c>
      <c r="BA165">
        <v>26.79953719340217</v>
      </c>
      <c r="BB165">
        <v>1.47234311385647</v>
      </c>
      <c r="BC165">
        <v>7.7183819587361429</v>
      </c>
      <c r="BD165">
        <v>5.0214601462072999</v>
      </c>
      <c r="BE165">
        <v>1.467583226746787</v>
      </c>
      <c r="BF165">
        <v>5.6430388342550133</v>
      </c>
      <c r="BG165">
        <v>4.9532991848439982</v>
      </c>
      <c r="BH165">
        <v>9.454171895260183</v>
      </c>
      <c r="BI165">
        <v>6.9288252581607557</v>
      </c>
      <c r="BJ165">
        <v>4.5725365531751958</v>
      </c>
      <c r="BK165">
        <v>6.872328656629354</v>
      </c>
      <c r="BL165">
        <v>8.8250669680455811</v>
      </c>
    </row>
    <row r="166" spans="1:69" x14ac:dyDescent="0.25">
      <c r="A166" t="s">
        <v>3342</v>
      </c>
      <c r="B166" t="s">
        <v>3343</v>
      </c>
      <c r="C166" t="s">
        <v>3023</v>
      </c>
      <c r="D166" t="s">
        <v>3024</v>
      </c>
    </row>
    <row r="167" spans="1:69" x14ac:dyDescent="0.25">
      <c r="A167" t="s">
        <v>3344</v>
      </c>
      <c r="B167" t="s">
        <v>3345</v>
      </c>
      <c r="C167" t="s">
        <v>3023</v>
      </c>
      <c r="D167" t="s">
        <v>3024</v>
      </c>
      <c r="AY167">
        <v>2.9245125812364781</v>
      </c>
      <c r="AZ167">
        <v>4.3471221565611211</v>
      </c>
      <c r="BA167">
        <v>8.7587276958879841</v>
      </c>
      <c r="BB167">
        <v>3.4667237320779338</v>
      </c>
      <c r="BC167">
        <v>0.65494657014847868</v>
      </c>
      <c r="BD167">
        <v>3.4501431124869</v>
      </c>
      <c r="BE167">
        <v>4.1452472498111872</v>
      </c>
      <c r="BF167">
        <v>2.205892681411779</v>
      </c>
      <c r="BG167">
        <v>-0.71051405171022664</v>
      </c>
      <c r="BH167">
        <v>1.548691582224855</v>
      </c>
      <c r="BI167">
        <v>-0.27138502338517551</v>
      </c>
      <c r="BJ167">
        <v>2.380235990531304</v>
      </c>
      <c r="BK167">
        <v>2.6112237826379969</v>
      </c>
      <c r="BL167">
        <v>0.36156370454076731</v>
      </c>
      <c r="BM167">
        <v>-0.25565569984855119</v>
      </c>
      <c r="BN167">
        <v>2.4108019840316519</v>
      </c>
      <c r="BO167">
        <v>13.04030363470036</v>
      </c>
      <c r="BP167">
        <v>8.5847691045540255</v>
      </c>
      <c r="BQ167">
        <v>3.3367500928228142</v>
      </c>
    </row>
    <row r="168" spans="1:69" x14ac:dyDescent="0.25">
      <c r="A168" t="s">
        <v>3346</v>
      </c>
      <c r="B168" t="s">
        <v>3347</v>
      </c>
      <c r="C168" t="s">
        <v>3023</v>
      </c>
      <c r="D168" t="s">
        <v>3024</v>
      </c>
      <c r="AL168">
        <v>268.15048888278397</v>
      </c>
      <c r="AM168">
        <v>87.580009329808036</v>
      </c>
      <c r="AN168">
        <v>4.3516100957192272E-2</v>
      </c>
      <c r="AO168">
        <v>46.889952153110229</v>
      </c>
      <c r="AP168">
        <v>36.556114894877261</v>
      </c>
      <c r="AQ168">
        <v>9.3570421771654768</v>
      </c>
      <c r="AR168">
        <v>7.5649415030737703</v>
      </c>
      <c r="AS168">
        <v>11.59553875933271</v>
      </c>
      <c r="AT168">
        <v>6.2773602048400612</v>
      </c>
      <c r="AU168">
        <v>0.9170746871842701</v>
      </c>
      <c r="AV168">
        <v>5.1289949942241897</v>
      </c>
      <c r="AW168">
        <v>8.2411544941761914</v>
      </c>
      <c r="AX168">
        <v>12.71656740660532</v>
      </c>
      <c r="AY168">
        <v>5.0951666166315697</v>
      </c>
      <c r="AZ168">
        <v>9.6309630963096406</v>
      </c>
      <c r="BA168">
        <v>27.955665024630559</v>
      </c>
      <c r="BB168">
        <v>7.6195059351941019</v>
      </c>
      <c r="BC168">
        <v>10.04620658816507</v>
      </c>
      <c r="BD168">
        <v>8.4112149532710117</v>
      </c>
      <c r="BE168">
        <v>14.33033483258381</v>
      </c>
      <c r="BF168">
        <v>10.49065675882415</v>
      </c>
      <c r="BG168">
        <v>12.25398081297595</v>
      </c>
      <c r="BH168">
        <v>5.7356828193832721</v>
      </c>
      <c r="BI168">
        <v>0.73327222731439723</v>
      </c>
      <c r="BJ168">
        <v>4.3014310530234212</v>
      </c>
      <c r="BK168">
        <v>6.8242479014552169</v>
      </c>
      <c r="BL168">
        <v>7.3010695355072883</v>
      </c>
      <c r="BM168">
        <v>3.7237230614025978</v>
      </c>
      <c r="BN168">
        <v>7.3589465788815502</v>
      </c>
      <c r="BO168">
        <v>15.15097282008049</v>
      </c>
      <c r="BP168">
        <v>10.347583131433989</v>
      </c>
      <c r="BQ168">
        <v>6.197799016584197</v>
      </c>
    </row>
    <row r="169" spans="1:69" x14ac:dyDescent="0.25">
      <c r="A169" t="s">
        <v>3348</v>
      </c>
      <c r="B169" t="s">
        <v>3349</v>
      </c>
      <c r="C169" t="s">
        <v>3023</v>
      </c>
      <c r="D169" t="s">
        <v>3024</v>
      </c>
    </row>
    <row r="170" spans="1:69" x14ac:dyDescent="0.25">
      <c r="A170" t="s">
        <v>3350</v>
      </c>
      <c r="B170" t="s">
        <v>3351</v>
      </c>
      <c r="C170" t="s">
        <v>3023</v>
      </c>
      <c r="D170" t="s">
        <v>3024</v>
      </c>
      <c r="AX170">
        <v>6.4275527807008661</v>
      </c>
      <c r="AY170">
        <v>13.245087907099879</v>
      </c>
      <c r="AZ170">
        <v>8.4894867549745534</v>
      </c>
      <c r="BA170">
        <v>14.50280530022677</v>
      </c>
      <c r="BB170">
        <v>3.7886133091462542</v>
      </c>
      <c r="BC170">
        <v>12.42554217351563</v>
      </c>
      <c r="BD170">
        <v>11.1666056127874</v>
      </c>
      <c r="BE170">
        <v>2.6024545695661812</v>
      </c>
      <c r="BF170">
        <v>4.2613525094196341</v>
      </c>
      <c r="BG170">
        <v>2.5597487584429501</v>
      </c>
      <c r="BH170">
        <v>3.5507596735674589</v>
      </c>
      <c r="BI170">
        <v>17.418041819759711</v>
      </c>
      <c r="BJ170">
        <v>15.11320738993842</v>
      </c>
      <c r="BK170">
        <v>3.9113343999072891</v>
      </c>
      <c r="BL170">
        <v>2.8027030792811121</v>
      </c>
      <c r="BM170">
        <v>3.483935674932038</v>
      </c>
      <c r="BN170">
        <v>6.4084765297569177</v>
      </c>
      <c r="BO170">
        <v>10.27940180934209</v>
      </c>
      <c r="BP170">
        <v>7.1269748213185107</v>
      </c>
      <c r="BQ170">
        <v>4.0785683481202186</v>
      </c>
    </row>
    <row r="171" spans="1:69" x14ac:dyDescent="0.25">
      <c r="A171" t="s">
        <v>3352</v>
      </c>
      <c r="B171" t="s">
        <v>3353</v>
      </c>
      <c r="C171" t="s">
        <v>3023</v>
      </c>
      <c r="D171" t="s">
        <v>3024</v>
      </c>
      <c r="AE171">
        <v>7.4333333333331959</v>
      </c>
      <c r="AF171">
        <v>8.152342538008714</v>
      </c>
      <c r="AG171">
        <v>1.319658610054818</v>
      </c>
      <c r="AH171">
        <v>12.93268209810992</v>
      </c>
      <c r="AI171">
        <v>6.600225648740178</v>
      </c>
      <c r="AJ171">
        <v>5.6286666666669882</v>
      </c>
      <c r="AK171">
        <v>10.141817562151029</v>
      </c>
      <c r="AL171">
        <v>9.3703441597146053</v>
      </c>
      <c r="AM171">
        <v>4.1282586129544177</v>
      </c>
      <c r="AN171">
        <v>6.54379068524171</v>
      </c>
      <c r="AO171">
        <v>4.681306239164126</v>
      </c>
      <c r="AP171">
        <v>4.6253469531839402</v>
      </c>
      <c r="AQ171">
        <v>8.0316666549885767</v>
      </c>
      <c r="AR171">
        <v>4.0741761359675426</v>
      </c>
      <c r="AS171">
        <v>3.2540674583335831</v>
      </c>
      <c r="AT171">
        <v>4.7148963468960954</v>
      </c>
      <c r="AU171">
        <v>3.8957052575849018</v>
      </c>
      <c r="AV171">
        <v>5.151901507695781</v>
      </c>
      <c r="AW171">
        <v>10.367623347307349</v>
      </c>
      <c r="AX171">
        <v>12.125648718554119</v>
      </c>
      <c r="AY171">
        <v>6.2410332814282024</v>
      </c>
      <c r="AZ171">
        <v>7.254108413048872</v>
      </c>
      <c r="BA171">
        <v>7.3466354124978617</v>
      </c>
      <c r="BB171">
        <v>2.2209203238177908</v>
      </c>
      <c r="BC171">
        <v>6.283540874277036</v>
      </c>
      <c r="BD171">
        <v>5.6863195957595423</v>
      </c>
      <c r="BE171">
        <v>4.9024272721799722</v>
      </c>
      <c r="BF171">
        <v>4.1291017378339268</v>
      </c>
      <c r="BG171">
        <v>3.534368561473237</v>
      </c>
      <c r="BH171">
        <v>3.2547268811763099</v>
      </c>
      <c r="BI171">
        <v>1.4717104565000361</v>
      </c>
      <c r="BJ171">
        <v>2.2542765193481258</v>
      </c>
      <c r="BK171">
        <v>3.067359960583556</v>
      </c>
      <c r="BL171">
        <v>2.3000926211793722</v>
      </c>
      <c r="BM171">
        <v>2.3856948845631991</v>
      </c>
      <c r="BN171">
        <v>3.565164846501848</v>
      </c>
      <c r="BO171">
        <v>9.5252662862284296</v>
      </c>
      <c r="BP171">
        <v>4.953050345068724</v>
      </c>
      <c r="BQ171">
        <v>2.491643474819718</v>
      </c>
    </row>
    <row r="172" spans="1:69" x14ac:dyDescent="0.25">
      <c r="A172" t="s">
        <v>3354</v>
      </c>
      <c r="B172" t="s">
        <v>3355</v>
      </c>
      <c r="C172" t="s">
        <v>3023</v>
      </c>
      <c r="D172" t="s">
        <v>3024</v>
      </c>
      <c r="I172">
        <v>1.895574172809982</v>
      </c>
      <c r="J172">
        <v>1.7855659829823101</v>
      </c>
      <c r="K172">
        <v>2.5048955609584098</v>
      </c>
      <c r="L172">
        <v>1.8785321978164591</v>
      </c>
      <c r="M172">
        <v>6.9771075867296704</v>
      </c>
      <c r="N172">
        <v>2.3152205667647219</v>
      </c>
      <c r="O172">
        <v>1.541865943256695</v>
      </c>
      <c r="P172">
        <v>0.31634446369253849</v>
      </c>
      <c r="Q172">
        <v>5.3959355293340368</v>
      </c>
      <c r="R172">
        <v>13.450797872677599</v>
      </c>
      <c r="S172">
        <v>29.115630311091991</v>
      </c>
      <c r="T172">
        <v>14.73832327175495</v>
      </c>
      <c r="U172">
        <v>12.955729167183589</v>
      </c>
      <c r="V172">
        <v>9.1724989707480038</v>
      </c>
      <c r="W172">
        <v>8.5451391508228536</v>
      </c>
      <c r="X172">
        <v>14.46637020583035</v>
      </c>
      <c r="Y172">
        <v>41.999514386569871</v>
      </c>
      <c r="Z172">
        <v>14.461591074210631</v>
      </c>
      <c r="AA172">
        <v>11.41569312836511</v>
      </c>
      <c r="AB172">
        <v>5.5894980184393894</v>
      </c>
      <c r="AC172">
        <v>7.3891625616947127</v>
      </c>
      <c r="AD172">
        <v>6.6987039465849776</v>
      </c>
      <c r="AE172">
        <v>1.6326530612248551</v>
      </c>
      <c r="AF172">
        <v>0.518741633199852</v>
      </c>
      <c r="AG172">
        <v>9.1593141335105415</v>
      </c>
      <c r="AH172">
        <v>12.67004209113602</v>
      </c>
      <c r="AI172">
        <v>13.48808879263709</v>
      </c>
      <c r="AJ172">
        <v>7.0010137754187927</v>
      </c>
      <c r="AK172">
        <v>4.6435192988370853</v>
      </c>
      <c r="AL172">
        <v>10.517838447289559</v>
      </c>
      <c r="AM172">
        <v>7.323471544122941</v>
      </c>
      <c r="AN172">
        <v>6.029331884845317</v>
      </c>
      <c r="AO172">
        <v>6.5509733606557283</v>
      </c>
      <c r="AP172">
        <v>6.8333433499610203</v>
      </c>
      <c r="AQ172">
        <v>6.8107932379719349</v>
      </c>
      <c r="AR172">
        <v>6.9091462486677342</v>
      </c>
      <c r="AS172">
        <v>4.1992882562280656</v>
      </c>
      <c r="AT172">
        <v>5.389344262295082</v>
      </c>
      <c r="AU172">
        <v>6.4193337222114923</v>
      </c>
      <c r="AV172">
        <v>3.9210535755818752</v>
      </c>
      <c r="AW172">
        <v>4.7103706010588349</v>
      </c>
      <c r="AX172">
        <v>4.9371700498179472</v>
      </c>
      <c r="AY172">
        <v>8.9135010565014205</v>
      </c>
      <c r="AZ172">
        <v>8.8272927239329384</v>
      </c>
      <c r="BA172">
        <v>9.7322831714688665</v>
      </c>
      <c r="BB172">
        <v>2.5160912814511258</v>
      </c>
      <c r="BC172">
        <v>2.932363013698569</v>
      </c>
      <c r="BD172">
        <v>6.5224925486934113</v>
      </c>
      <c r="BE172">
        <v>3.8521603331598269</v>
      </c>
      <c r="BF172">
        <v>3.543295739348387</v>
      </c>
      <c r="BG172">
        <v>3.2176919199468448</v>
      </c>
      <c r="BH172">
        <v>1.2865497076023169</v>
      </c>
      <c r="BI172">
        <v>0.97767513471896506</v>
      </c>
      <c r="BJ172">
        <v>3.6669970267592471</v>
      </c>
      <c r="BK172">
        <v>3.216053831445703</v>
      </c>
      <c r="BL172">
        <v>0.40565519030955338</v>
      </c>
      <c r="BM172">
        <v>2.580800771828295</v>
      </c>
      <c r="BN172">
        <v>4.0285288815737559</v>
      </c>
      <c r="BO172">
        <v>10.77375122428991</v>
      </c>
      <c r="BP172">
        <v>7.0529823845473603</v>
      </c>
      <c r="BQ172">
        <v>3.6045220384795971</v>
      </c>
    </row>
    <row r="173" spans="1:69" x14ac:dyDescent="0.25">
      <c r="A173" t="s">
        <v>3356</v>
      </c>
      <c r="B173" t="s">
        <v>3357</v>
      </c>
      <c r="C173" t="s">
        <v>3023</v>
      </c>
      <c r="D173" t="s">
        <v>3024</v>
      </c>
      <c r="Z173">
        <v>11.81469755002124</v>
      </c>
      <c r="AA173">
        <v>9.8211624443207803</v>
      </c>
      <c r="AB173">
        <v>13.5025105170179</v>
      </c>
      <c r="AC173">
        <v>20.026303204232491</v>
      </c>
      <c r="AD173">
        <v>10.51897599371658</v>
      </c>
      <c r="AE173">
        <v>14.04686795876443</v>
      </c>
      <c r="AF173">
        <v>25.15509542829113</v>
      </c>
      <c r="AG173">
        <v>33.912164935433871</v>
      </c>
      <c r="AH173">
        <v>12.446362050266419</v>
      </c>
      <c r="AI173">
        <v>11.82353804541513</v>
      </c>
      <c r="AJ173">
        <v>12.615315382884919</v>
      </c>
      <c r="AK173">
        <v>23.751353023039869</v>
      </c>
      <c r="AL173">
        <v>22.772710233662501</v>
      </c>
      <c r="AM173">
        <v>34.64963615083235</v>
      </c>
      <c r="AN173">
        <v>83.325774754345844</v>
      </c>
      <c r="AO173">
        <v>37.602045023501638</v>
      </c>
      <c r="AP173">
        <v>9.137352430034948</v>
      </c>
      <c r="AQ173">
        <v>29.748651282826359</v>
      </c>
      <c r="AR173">
        <v>44.804164286167442</v>
      </c>
      <c r="AS173">
        <v>29.581488463168391</v>
      </c>
      <c r="AT173">
        <v>22.7</v>
      </c>
      <c r="AU173">
        <v>14.744634610160331</v>
      </c>
      <c r="AV173">
        <v>9.5767978691921449</v>
      </c>
      <c r="AW173">
        <v>11.429806082212361</v>
      </c>
      <c r="AX173">
        <v>15.41034466042956</v>
      </c>
      <c r="AY173">
        <v>13.97429435483877</v>
      </c>
      <c r="AZ173">
        <v>7.9522099086403042</v>
      </c>
      <c r="BA173">
        <v>8.7126018660904343</v>
      </c>
      <c r="BB173">
        <v>8.4220442769665542</v>
      </c>
      <c r="BC173">
        <v>7.4115909288382698</v>
      </c>
      <c r="BD173">
        <v>7.6228226284852001</v>
      </c>
      <c r="BE173">
        <v>21.271265001377909</v>
      </c>
      <c r="BF173">
        <v>27.28333333333336</v>
      </c>
      <c r="BG173">
        <v>23.792064946968662</v>
      </c>
      <c r="BH173">
        <v>21.867347554255289</v>
      </c>
      <c r="BI173">
        <v>21.711113213649881</v>
      </c>
      <c r="BJ173">
        <v>11.54339391887714</v>
      </c>
      <c r="BK173">
        <v>12.420178108921011</v>
      </c>
      <c r="BL173">
        <v>9.3708360560566977</v>
      </c>
      <c r="BM173">
        <v>8.6255146965055189</v>
      </c>
      <c r="BN173">
        <v>9.3301441083521155</v>
      </c>
      <c r="BO173">
        <v>20.953969729969039</v>
      </c>
      <c r="BP173">
        <v>28.789742824729831</v>
      </c>
      <c r="BQ173">
        <v>32.179650422502512</v>
      </c>
    </row>
    <row r="174" spans="1:69" x14ac:dyDescent="0.25">
      <c r="A174" t="s">
        <v>3358</v>
      </c>
      <c r="B174" t="s">
        <v>3359</v>
      </c>
      <c r="C174" t="s">
        <v>3023</v>
      </c>
      <c r="D174" t="s">
        <v>3024</v>
      </c>
      <c r="E174">
        <v>6.3182597888167005E-2</v>
      </c>
      <c r="F174">
        <v>-0.1804077216315654</v>
      </c>
      <c r="G174">
        <v>0.1084402678480898</v>
      </c>
      <c r="H174">
        <v>3.1052536560834429</v>
      </c>
      <c r="I174">
        <v>-0.4027315710036582</v>
      </c>
      <c r="J174">
        <v>-0.1054852322437895</v>
      </c>
      <c r="K174">
        <v>0.96796902526136885</v>
      </c>
      <c r="L174">
        <v>4.5755621403329112</v>
      </c>
      <c r="M174">
        <v>-0.15834652879456729</v>
      </c>
      <c r="N174">
        <v>-0.40901502529406952</v>
      </c>
      <c r="O174">
        <v>1.843935965563875</v>
      </c>
      <c r="P174">
        <v>1.6130359639580769</v>
      </c>
      <c r="Q174">
        <v>3.231554223548736</v>
      </c>
      <c r="R174">
        <v>10.56017574131009</v>
      </c>
      <c r="S174">
        <v>17.328980982441109</v>
      </c>
      <c r="T174">
        <v>4.4877222691590619</v>
      </c>
      <c r="U174">
        <v>2.6337115073057138</v>
      </c>
      <c r="V174">
        <v>4.7882240144596437</v>
      </c>
      <c r="W174">
        <v>4.860064585542518</v>
      </c>
      <c r="X174">
        <v>3.6544679979641379</v>
      </c>
      <c r="Y174">
        <v>6.6749195345051033</v>
      </c>
      <c r="Z174">
        <v>9.7000000000001503</v>
      </c>
      <c r="AA174">
        <v>5.8189000297783009</v>
      </c>
      <c r="AB174">
        <v>3.7042354631937262</v>
      </c>
      <c r="AC174">
        <v>3.897272601497682</v>
      </c>
      <c r="AD174">
        <v>0.34645879125988371</v>
      </c>
      <c r="AE174">
        <v>0.73700285539193866</v>
      </c>
      <c r="AF174">
        <v>0.29000790943841209</v>
      </c>
      <c r="AG174">
        <v>2.556519453207422</v>
      </c>
      <c r="AH174">
        <v>2.8132008971480542</v>
      </c>
      <c r="AI174">
        <v>2.617801047120508</v>
      </c>
      <c r="AJ174">
        <v>4.3583333333330039</v>
      </c>
      <c r="AK174">
        <v>4.7672282999282052</v>
      </c>
      <c r="AL174">
        <v>3.5365853658538882</v>
      </c>
      <c r="AM174">
        <v>3.7249705535928359</v>
      </c>
      <c r="AN174">
        <v>3.4505750958489481</v>
      </c>
      <c r="AO174">
        <v>3.4885594585891599</v>
      </c>
      <c r="AP174">
        <v>2.662514597119463</v>
      </c>
      <c r="AQ174">
        <v>5.2703420034876558</v>
      </c>
      <c r="AR174">
        <v>2.7445613024060389</v>
      </c>
      <c r="AS174">
        <v>1.5347402369769949</v>
      </c>
      <c r="AT174">
        <v>1.416784732060981</v>
      </c>
      <c r="AU174">
        <v>1.8078724628153611</v>
      </c>
      <c r="AV174">
        <v>1.089676325772861</v>
      </c>
      <c r="AW174">
        <v>1.421271159374023</v>
      </c>
      <c r="AX174">
        <v>2.975070926844491</v>
      </c>
      <c r="AY174">
        <v>3.60923564224389</v>
      </c>
      <c r="AZ174">
        <v>2.027353177795685</v>
      </c>
      <c r="BA174">
        <v>5.44078221100769</v>
      </c>
      <c r="BB174">
        <v>0.58330840562370201</v>
      </c>
      <c r="BC174">
        <v>1.6228523557703529</v>
      </c>
      <c r="BD174">
        <v>3.1744709215131</v>
      </c>
      <c r="BE174">
        <v>1.663571024792059</v>
      </c>
      <c r="BF174">
        <v>2.10501231233612</v>
      </c>
      <c r="BG174">
        <v>3.142990508790954</v>
      </c>
      <c r="BH174">
        <v>2.1043898023835852</v>
      </c>
      <c r="BI174">
        <v>2.0905665952574242</v>
      </c>
      <c r="BJ174">
        <v>3.8712011577423739</v>
      </c>
      <c r="BK174">
        <v>0.88470916057123505</v>
      </c>
      <c r="BL174">
        <v>0.66289186576432635</v>
      </c>
      <c r="BM174">
        <v>-1.1387021539304989</v>
      </c>
      <c r="BN174">
        <v>2.477102414654468</v>
      </c>
      <c r="BO174">
        <v>3.3786986254992848</v>
      </c>
      <c r="BP174">
        <v>2.488865601257539</v>
      </c>
      <c r="BQ174">
        <v>1.834100204499002</v>
      </c>
    </row>
    <row r="175" spans="1:69" x14ac:dyDescent="0.25">
      <c r="A175" t="s">
        <v>3360</v>
      </c>
      <c r="B175" t="s">
        <v>3361</v>
      </c>
      <c r="C175" t="s">
        <v>3023</v>
      </c>
      <c r="D175" t="s">
        <v>3024</v>
      </c>
    </row>
    <row r="176" spans="1:69" x14ac:dyDescent="0.25">
      <c r="A176" t="s">
        <v>3362</v>
      </c>
      <c r="B176" t="s">
        <v>3363</v>
      </c>
      <c r="C176" t="s">
        <v>3023</v>
      </c>
      <c r="D176" t="s">
        <v>3024</v>
      </c>
      <c r="AV176">
        <v>7.1361531145862989</v>
      </c>
      <c r="AW176">
        <v>4.1366321314474837</v>
      </c>
      <c r="AX176">
        <v>2.2819460702430652</v>
      </c>
      <c r="AY176">
        <v>4.9611668929891577</v>
      </c>
      <c r="AZ176">
        <v>6.5478814110171726</v>
      </c>
      <c r="BA176">
        <v>9.0946430719280951</v>
      </c>
      <c r="BB176">
        <v>9.4517265152170484</v>
      </c>
      <c r="BC176">
        <v>4.874919876439499</v>
      </c>
      <c r="BD176">
        <v>5.0055951808119996</v>
      </c>
      <c r="BE176">
        <v>6.7219977733488596</v>
      </c>
      <c r="BF176">
        <v>5.6009250229040077</v>
      </c>
      <c r="BG176">
        <v>5.3501696685960223</v>
      </c>
      <c r="BH176">
        <v>3.394015384105586</v>
      </c>
      <c r="BI176">
        <v>6.7285823459333773</v>
      </c>
      <c r="BJ176">
        <v>6.1457998111116421</v>
      </c>
      <c r="BK176">
        <v>4.2915910533787534</v>
      </c>
      <c r="BL176">
        <v>3.7223941442269459</v>
      </c>
      <c r="BM176">
        <v>2.2093823693346919</v>
      </c>
      <c r="BN176">
        <v>3.6169053010881398</v>
      </c>
      <c r="BO176">
        <v>6.0812811411241317</v>
      </c>
      <c r="BP176">
        <v>5.8799346328427466</v>
      </c>
      <c r="BQ176">
        <v>4.2390392287703618</v>
      </c>
    </row>
    <row r="177" spans="1:69" x14ac:dyDescent="0.25">
      <c r="A177" t="s">
        <v>3364</v>
      </c>
      <c r="B177" t="s">
        <v>3365</v>
      </c>
      <c r="C177" t="s">
        <v>3023</v>
      </c>
      <c r="D177" t="s">
        <v>3024</v>
      </c>
      <c r="BD177">
        <v>2.4289969375338312</v>
      </c>
      <c r="BE177">
        <v>1.7496723460026209</v>
      </c>
      <c r="BF177">
        <v>1.2776131899271801</v>
      </c>
      <c r="BG177">
        <v>0.17885106078551111</v>
      </c>
      <c r="BH177">
        <v>0.57050814104840175</v>
      </c>
      <c r="BI177">
        <v>0.57831743552075399</v>
      </c>
    </row>
    <row r="178" spans="1:69" x14ac:dyDescent="0.25">
      <c r="A178" t="s">
        <v>3366</v>
      </c>
      <c r="B178" t="s">
        <v>3367</v>
      </c>
      <c r="C178" t="s">
        <v>3023</v>
      </c>
      <c r="D178" t="s">
        <v>3024</v>
      </c>
      <c r="I178">
        <v>1.0040160642667131</v>
      </c>
      <c r="J178">
        <v>4.3737574563059152</v>
      </c>
      <c r="K178">
        <v>10.57142857047611</v>
      </c>
      <c r="L178">
        <v>0.43066322136443741</v>
      </c>
      <c r="M178">
        <v>-2.9230989129746772</v>
      </c>
      <c r="N178">
        <v>10.64566001584331</v>
      </c>
      <c r="O178">
        <v>1.11783884490559</v>
      </c>
      <c r="P178">
        <v>4.1916167664867681</v>
      </c>
      <c r="Q178">
        <v>9.7511683720270295</v>
      </c>
      <c r="R178">
        <v>11.785015536747441</v>
      </c>
      <c r="S178">
        <v>3.397508493733258</v>
      </c>
      <c r="T178">
        <v>9.1158020513705882</v>
      </c>
      <c r="U178">
        <v>23.52968015692835</v>
      </c>
      <c r="V178">
        <v>23.251089606333011</v>
      </c>
      <c r="W178">
        <v>10.09320027569939</v>
      </c>
      <c r="X178">
        <v>7.267877072233599</v>
      </c>
      <c r="Y178">
        <v>10.30527571240459</v>
      </c>
      <c r="Z178">
        <v>22.913407564163549</v>
      </c>
      <c r="AA178">
        <v>11.641835741678451</v>
      </c>
      <c r="AB178">
        <v>-2.489605686714877</v>
      </c>
      <c r="AC178">
        <v>8.364424118299647</v>
      </c>
      <c r="AD178">
        <v>-0.92339912399481872</v>
      </c>
      <c r="AE178">
        <v>-3.2075713416568692</v>
      </c>
      <c r="AF178">
        <v>-6.7121089290119498</v>
      </c>
      <c r="AG178">
        <v>-1.3939630404709149</v>
      </c>
      <c r="AH178">
        <v>-2.8435251798561771</v>
      </c>
      <c r="AI178">
        <v>-0.77565301097750361</v>
      </c>
      <c r="AJ178">
        <v>-7.7966417910446673</v>
      </c>
      <c r="AK178">
        <v>-4.4756179024717611</v>
      </c>
      <c r="AL178">
        <v>-1.2150349650349641</v>
      </c>
      <c r="AM178">
        <v>36.041058313424138</v>
      </c>
      <c r="AN178">
        <v>10.563288669181359</v>
      </c>
      <c r="AO178">
        <v>5.288857512648824</v>
      </c>
      <c r="AP178">
        <v>2.9334525339442159</v>
      </c>
      <c r="AQ178">
        <v>4.548015777187203</v>
      </c>
      <c r="AR178">
        <v>-2.3021250384964782</v>
      </c>
      <c r="AS178">
        <v>2.9001497359910848</v>
      </c>
      <c r="AT178">
        <v>4.005514283526785</v>
      </c>
      <c r="AU178">
        <v>2.628865979381362</v>
      </c>
      <c r="AV178">
        <v>-1.6144076917559631</v>
      </c>
      <c r="AW178">
        <v>0.2625437572928378</v>
      </c>
      <c r="AX178">
        <v>7.7974978178644019</v>
      </c>
      <c r="AY178">
        <v>4.0485829959507363E-2</v>
      </c>
      <c r="AZ178">
        <v>5.3959260758156172E-2</v>
      </c>
      <c r="BA178">
        <v>11.30510988270191</v>
      </c>
      <c r="BB178">
        <v>0.58290659080112195</v>
      </c>
      <c r="BC178">
        <v>0.80407308088265872</v>
      </c>
      <c r="BD178">
        <v>2.9423851401332</v>
      </c>
      <c r="BE178">
        <v>0.45508982035928941</v>
      </c>
      <c r="BF178">
        <v>2.297231149553169</v>
      </c>
      <c r="BG178">
        <v>-0.93028725998446637</v>
      </c>
      <c r="BH178">
        <v>-0.57609036983318884</v>
      </c>
      <c r="BI178">
        <v>1.653889223878056</v>
      </c>
      <c r="BJ178">
        <v>2.7963731887128449</v>
      </c>
      <c r="BK178">
        <v>2.9676036600445559</v>
      </c>
      <c r="BL178">
        <v>-2.4897926507085488</v>
      </c>
      <c r="BM178">
        <v>2.8981937602627021</v>
      </c>
      <c r="BN178">
        <v>3.8378680284050959</v>
      </c>
      <c r="BO178">
        <v>4.2262179191639246</v>
      </c>
      <c r="BP178">
        <v>3.7009731642583379</v>
      </c>
      <c r="BQ178">
        <v>9.0715199772501336</v>
      </c>
    </row>
    <row r="179" spans="1:69" x14ac:dyDescent="0.25">
      <c r="A179" t="s">
        <v>3368</v>
      </c>
      <c r="B179" t="s">
        <v>3369</v>
      </c>
      <c r="C179" t="s">
        <v>3023</v>
      </c>
      <c r="D179" t="s">
        <v>3024</v>
      </c>
      <c r="E179">
        <v>5.4443273618723991</v>
      </c>
      <c r="F179">
        <v>6.2791472347751371</v>
      </c>
      <c r="G179">
        <v>5.2656323462173313</v>
      </c>
      <c r="H179">
        <v>-2.6946553523273069</v>
      </c>
      <c r="I179">
        <v>0.85679314573755416</v>
      </c>
      <c r="J179">
        <v>4.103458738116192</v>
      </c>
      <c r="K179">
        <v>9.6903460837511837</v>
      </c>
      <c r="L179">
        <v>-3.7263367651421562</v>
      </c>
      <c r="M179">
        <v>-0.4760590590608329</v>
      </c>
      <c r="N179">
        <v>10.155979202821969</v>
      </c>
      <c r="O179">
        <v>13.75707992479299</v>
      </c>
      <c r="P179">
        <v>15.99911484822352</v>
      </c>
      <c r="Q179">
        <v>3.4576497520149969</v>
      </c>
      <c r="R179">
        <v>5.4026644539421964</v>
      </c>
      <c r="S179">
        <v>12.674393177432959</v>
      </c>
      <c r="T179">
        <v>33.964188322177598</v>
      </c>
      <c r="U179">
        <v>24.299999999999699</v>
      </c>
      <c r="V179">
        <v>15.08783405726872</v>
      </c>
      <c r="W179">
        <v>21.70924574166645</v>
      </c>
      <c r="X179">
        <v>11.70973062121177</v>
      </c>
      <c r="Y179">
        <v>9.9722619900142409</v>
      </c>
      <c r="Z179">
        <v>20.812822912194921</v>
      </c>
      <c r="AA179">
        <v>7.6977472471424866</v>
      </c>
      <c r="AB179">
        <v>23.212331551155899</v>
      </c>
      <c r="AC179">
        <v>17.820533286084181</v>
      </c>
      <c r="AD179">
        <v>7.4353448275863503</v>
      </c>
      <c r="AE179">
        <v>5.7171514543630169</v>
      </c>
      <c r="AF179">
        <v>11.29032258064511</v>
      </c>
      <c r="AG179">
        <v>54.511224779767261</v>
      </c>
      <c r="AH179">
        <v>50.466688123591538</v>
      </c>
      <c r="AI179">
        <v>7.36440030557696</v>
      </c>
      <c r="AJ179">
        <v>13.006973103742769</v>
      </c>
      <c r="AK179">
        <v>44.588842715022977</v>
      </c>
      <c r="AL179">
        <v>57.165252834921667</v>
      </c>
      <c r="AM179">
        <v>57.031708911965929</v>
      </c>
      <c r="AN179">
        <v>72.835502297263773</v>
      </c>
      <c r="AO179">
        <v>29.268292682927111</v>
      </c>
      <c r="AP179">
        <v>8.5298742138363366</v>
      </c>
      <c r="AQ179">
        <v>9.9963781238680571</v>
      </c>
      <c r="AR179">
        <v>6.6183733947975147</v>
      </c>
      <c r="AS179">
        <v>6.9332921556516096</v>
      </c>
      <c r="AT179">
        <v>18.873646209386269</v>
      </c>
      <c r="AU179">
        <v>12.87657920310988</v>
      </c>
      <c r="AV179">
        <v>14.031783613143659</v>
      </c>
      <c r="AW179">
        <v>14.99803381832513</v>
      </c>
      <c r="AX179">
        <v>17.86349336616049</v>
      </c>
      <c r="AY179">
        <v>8.2252215201704715</v>
      </c>
      <c r="AZ179">
        <v>5.3880079685862636</v>
      </c>
      <c r="BA179">
        <v>11.581075174825211</v>
      </c>
      <c r="BB179">
        <v>12.537827730468891</v>
      </c>
      <c r="BC179">
        <v>13.740052136369391</v>
      </c>
      <c r="BD179">
        <v>10.826137188001701</v>
      </c>
      <c r="BE179">
        <v>12.22424130205839</v>
      </c>
      <c r="BF179">
        <v>8.4955183826566945</v>
      </c>
      <c r="BG179">
        <v>8.047410879679072</v>
      </c>
      <c r="BH179">
        <v>9.0094349800770637</v>
      </c>
      <c r="BI179">
        <v>15.69681263879716</v>
      </c>
      <c r="BJ179">
        <v>16.502266213964109</v>
      </c>
      <c r="BK179">
        <v>12.09510651734316</v>
      </c>
      <c r="BL179">
        <v>11.39642233781162</v>
      </c>
      <c r="BM179">
        <v>13.24602342765969</v>
      </c>
      <c r="BN179">
        <v>16.95284572216077</v>
      </c>
      <c r="BO179">
        <v>18.847187784327449</v>
      </c>
      <c r="BP179">
        <v>24.65955020311397</v>
      </c>
      <c r="BQ179">
        <v>33.242096654540568</v>
      </c>
    </row>
    <row r="180" spans="1:69" x14ac:dyDescent="0.25">
      <c r="A180" t="s">
        <v>3370</v>
      </c>
      <c r="B180" t="s">
        <v>3371</v>
      </c>
      <c r="C180" t="s">
        <v>3023</v>
      </c>
      <c r="D180" t="s">
        <v>3024</v>
      </c>
      <c r="AS180">
        <v>7.0699135225251686</v>
      </c>
      <c r="AT180">
        <v>5.9860418627951786</v>
      </c>
      <c r="AU180">
        <v>3.7501746577846609</v>
      </c>
      <c r="AV180">
        <v>5.3023877321993638</v>
      </c>
      <c r="AW180">
        <v>8.4702106358407665</v>
      </c>
      <c r="AX180">
        <v>9.5990998606442517</v>
      </c>
      <c r="AY180">
        <v>9.1401996677771979</v>
      </c>
      <c r="AZ180">
        <v>11.1269347446118</v>
      </c>
      <c r="BA180">
        <v>19.826203128742851</v>
      </c>
      <c r="BB180">
        <v>3.687001604987965</v>
      </c>
      <c r="BC180">
        <v>5.4551342588742253</v>
      </c>
      <c r="BD180">
        <v>8.0823879809909993</v>
      </c>
      <c r="BE180">
        <v>7.1935505333896046</v>
      </c>
      <c r="BF180">
        <v>7.1354678528940703</v>
      </c>
      <c r="BG180">
        <v>6.03596861798425</v>
      </c>
      <c r="BH180">
        <v>3.9973799669439649</v>
      </c>
      <c r="BI180">
        <v>3.5231731762847311</v>
      </c>
      <c r="BJ180">
        <v>3.850671662847271</v>
      </c>
      <c r="BK180">
        <v>4.9472372803988618</v>
      </c>
      <c r="BL180">
        <v>5.3762899084412554</v>
      </c>
      <c r="BM180">
        <v>3.6818134162557188</v>
      </c>
      <c r="BN180">
        <v>4.9284139694896751</v>
      </c>
      <c r="BO180">
        <v>10.46742444659907</v>
      </c>
      <c r="BP180">
        <v>8.3876585487253621</v>
      </c>
      <c r="BQ180">
        <v>4.6247384105714122</v>
      </c>
    </row>
    <row r="181" spans="1:69" x14ac:dyDescent="0.25">
      <c r="A181" t="s">
        <v>3372</v>
      </c>
      <c r="B181" t="s">
        <v>3373</v>
      </c>
      <c r="C181" t="s">
        <v>3023</v>
      </c>
      <c r="D181" t="s">
        <v>3024</v>
      </c>
      <c r="E181">
        <v>2.3239436619721698</v>
      </c>
      <c r="F181">
        <v>1.3076393668272901</v>
      </c>
      <c r="G181">
        <v>2.4311452004646399</v>
      </c>
      <c r="H181">
        <v>3.24365932762645</v>
      </c>
      <c r="I181">
        <v>5.8237664687614599</v>
      </c>
      <c r="J181">
        <v>3.90802639393659</v>
      </c>
      <c r="K181">
        <v>5.7621465538998997</v>
      </c>
      <c r="L181">
        <v>3.4553200529417598</v>
      </c>
      <c r="M181">
        <v>3.7207917707476401</v>
      </c>
      <c r="N181">
        <v>7.4217973638689001</v>
      </c>
      <c r="O181">
        <v>3.6689182018405599</v>
      </c>
      <c r="P181">
        <v>7.4776925520413497</v>
      </c>
      <c r="Q181">
        <v>7.8027914345622102</v>
      </c>
      <c r="R181">
        <v>8.0222037496609406</v>
      </c>
      <c r="S181">
        <v>9.5914248432509996</v>
      </c>
      <c r="T181">
        <v>10.2174805273043</v>
      </c>
      <c r="U181">
        <v>8.8306435590572594</v>
      </c>
      <c r="V181">
        <v>6.3993031903924198</v>
      </c>
      <c r="W181">
        <v>4.1120131687586703</v>
      </c>
      <c r="X181">
        <v>4.1992929622273198</v>
      </c>
      <c r="Y181">
        <v>6.5134568629721503</v>
      </c>
      <c r="Z181">
        <v>6.7389295507845102</v>
      </c>
      <c r="AA181">
        <v>5.9110932398491602</v>
      </c>
      <c r="AB181">
        <v>2.74084282543433</v>
      </c>
      <c r="AC181">
        <v>3.3016384199798301</v>
      </c>
      <c r="AD181">
        <v>2.2585840125526802</v>
      </c>
      <c r="AE181">
        <v>8.3347949486750797E-2</v>
      </c>
      <c r="AF181">
        <v>-0.69120309133686797</v>
      </c>
      <c r="AG181">
        <v>0.73794304574755298</v>
      </c>
      <c r="AH181">
        <v>1.08216015577775</v>
      </c>
      <c r="AI181">
        <v>2.4540898591967499</v>
      </c>
      <c r="AJ181">
        <v>3.1581975185909599</v>
      </c>
      <c r="AK181">
        <v>3.1835856949958101</v>
      </c>
      <c r="AL181">
        <v>2.58418115634715</v>
      </c>
      <c r="AM181">
        <v>2.80152693672192</v>
      </c>
      <c r="AN181">
        <v>1.9232245716635901</v>
      </c>
      <c r="AO181">
        <v>2.11378787066774</v>
      </c>
      <c r="AP181">
        <v>2.1092456273948299</v>
      </c>
      <c r="AQ181">
        <v>1.95913632274257</v>
      </c>
      <c r="AR181">
        <v>2.1571791805505001</v>
      </c>
      <c r="AS181">
        <v>2.3605223380195799</v>
      </c>
      <c r="AT181">
        <v>4.1558412719561204</v>
      </c>
      <c r="AU181">
        <v>3.28753104712766</v>
      </c>
      <c r="AV181">
        <v>2.09199838997655</v>
      </c>
      <c r="AW181">
        <v>1.2636473918317701</v>
      </c>
      <c r="AX181">
        <v>1.6881301786962</v>
      </c>
      <c r="AY181">
        <v>1.10150106517709</v>
      </c>
      <c r="AZ181">
        <v>1.6138585980210201</v>
      </c>
      <c r="BA181">
        <v>2.4865019828945698</v>
      </c>
      <c r="BB181">
        <v>1.1897768702154801</v>
      </c>
      <c r="BC181">
        <v>1.2753056955667901</v>
      </c>
      <c r="BD181">
        <v>2.3410701775137301</v>
      </c>
      <c r="BE181">
        <v>2.45554765291614</v>
      </c>
      <c r="BF181">
        <v>2.50689852657875</v>
      </c>
      <c r="BG181">
        <v>0.97603507969967895</v>
      </c>
      <c r="BH181">
        <v>0.60024814727877596</v>
      </c>
      <c r="BI181">
        <v>0.316666666666652</v>
      </c>
      <c r="BJ181">
        <v>1.3814587140721599</v>
      </c>
      <c r="BK181">
        <v>1.70349794744479</v>
      </c>
      <c r="BL181">
        <v>2.63369910249591</v>
      </c>
      <c r="BM181">
        <v>1.2724603778916099</v>
      </c>
      <c r="BN181">
        <v>2.6757200880538501</v>
      </c>
      <c r="BO181">
        <v>10.001207875347299</v>
      </c>
      <c r="BP181">
        <v>3.8383935434280798</v>
      </c>
      <c r="BQ181">
        <v>3.34754304219953</v>
      </c>
    </row>
    <row r="182" spans="1:69" x14ac:dyDescent="0.25">
      <c r="A182" t="s">
        <v>22</v>
      </c>
      <c r="B182" t="s">
        <v>3374</v>
      </c>
      <c r="C182" t="s">
        <v>3023</v>
      </c>
      <c r="D182" t="s">
        <v>3024</v>
      </c>
      <c r="E182">
        <v>0.36049234684459941</v>
      </c>
      <c r="F182">
        <v>2.155172776709235</v>
      </c>
      <c r="G182">
        <v>5.2742595292072778</v>
      </c>
      <c r="H182">
        <v>2.4716105289650212</v>
      </c>
      <c r="I182">
        <v>5.867015387519241</v>
      </c>
      <c r="J182">
        <v>4.1872244399799463</v>
      </c>
      <c r="K182">
        <v>3.2505633430530949</v>
      </c>
      <c r="L182">
        <v>4.5792697575399819</v>
      </c>
      <c r="M182">
        <v>3.4482932425420691</v>
      </c>
      <c r="N182">
        <v>2.962949510752106</v>
      </c>
      <c r="O182">
        <v>10.63720652641828</v>
      </c>
      <c r="P182">
        <v>6.2238632350129279</v>
      </c>
      <c r="Q182">
        <v>7.2584358296152001</v>
      </c>
      <c r="R182">
        <v>7.4194728363750269</v>
      </c>
      <c r="S182">
        <v>9.4117681321188957</v>
      </c>
      <c r="T182">
        <v>11.68922348168533</v>
      </c>
      <c r="U182">
        <v>9.1614727654756649</v>
      </c>
      <c r="V182">
        <v>9.1038397116029728</v>
      </c>
      <c r="W182">
        <v>8.1616715433961957</v>
      </c>
      <c r="X182">
        <v>4.5097276120620862</v>
      </c>
      <c r="Y182">
        <v>10.87866108786611</v>
      </c>
      <c r="Z182">
        <v>13.642960812772129</v>
      </c>
      <c r="AA182">
        <v>11.34099616858234</v>
      </c>
      <c r="AB182">
        <v>8.4652443220922411</v>
      </c>
      <c r="AC182">
        <v>6.2182741116750933</v>
      </c>
      <c r="AD182">
        <v>5.7148546395858304</v>
      </c>
      <c r="AE182">
        <v>7.1764927481635032</v>
      </c>
      <c r="AF182">
        <v>8.7170474516695986</v>
      </c>
      <c r="AG182">
        <v>6.6763659877141981</v>
      </c>
      <c r="AH182">
        <v>4.5461433550538022</v>
      </c>
      <c r="AI182">
        <v>4.1310334831134998</v>
      </c>
      <c r="AJ182">
        <v>3.4381959910913382</v>
      </c>
      <c r="AK182">
        <v>2.3280850491184819</v>
      </c>
      <c r="AL182">
        <v>2.2882693319306142</v>
      </c>
      <c r="AM182">
        <v>1.375674980714781</v>
      </c>
      <c r="AN182">
        <v>2.4603677869372911</v>
      </c>
      <c r="AO182">
        <v>1.2625324916450149</v>
      </c>
      <c r="AP182">
        <v>2.5669233590025158</v>
      </c>
      <c r="AQ182">
        <v>2.2524132999642932</v>
      </c>
      <c r="AR182">
        <v>2.365967365967327</v>
      </c>
      <c r="AS182">
        <v>3.0855060913127872</v>
      </c>
      <c r="AT182">
        <v>3.0041970399823308</v>
      </c>
      <c r="AU182">
        <v>1.2867252841518351</v>
      </c>
      <c r="AV182">
        <v>2.4878255346178149</v>
      </c>
      <c r="AW182">
        <v>0.45449850222086308</v>
      </c>
      <c r="AX182">
        <v>1.5321336760924851</v>
      </c>
      <c r="AY182">
        <v>2.329349807575503</v>
      </c>
      <c r="AZ182">
        <v>0.71258907363420076</v>
      </c>
      <c r="BA182">
        <v>3.753930817610049</v>
      </c>
      <c r="BB182">
        <v>2.1973858685356822</v>
      </c>
      <c r="BC182">
        <v>2.418906394810032</v>
      </c>
      <c r="BD182">
        <v>1.2849515880916</v>
      </c>
      <c r="BE182">
        <v>0.69686411149826266</v>
      </c>
      <c r="BF182">
        <v>2.1204862035311249</v>
      </c>
      <c r="BG182">
        <v>2.0417028670721118</v>
      </c>
      <c r="BH182">
        <v>2.1711366538952692</v>
      </c>
      <c r="BI182">
        <v>3.5500000000000691</v>
      </c>
      <c r="BJ182">
        <v>1.8751005955254489</v>
      </c>
      <c r="BK182">
        <v>2.7648313452879711</v>
      </c>
      <c r="BL182">
        <v>2.1677300330541072</v>
      </c>
      <c r="BM182">
        <v>1.286584907079962</v>
      </c>
      <c r="BN182">
        <v>3.4838805526666938</v>
      </c>
      <c r="BO182">
        <v>5.7641231785227189</v>
      </c>
      <c r="BP182">
        <v>5.517849871046594</v>
      </c>
      <c r="BQ182">
        <v>3.1453013443108051</v>
      </c>
    </row>
    <row r="183" spans="1:69" x14ac:dyDescent="0.25">
      <c r="A183" t="s">
        <v>3375</v>
      </c>
      <c r="B183" t="s">
        <v>3376</v>
      </c>
      <c r="C183" t="s">
        <v>3023</v>
      </c>
      <c r="D183" t="s">
        <v>3024</v>
      </c>
      <c r="J183">
        <v>8.4718693284647468</v>
      </c>
      <c r="K183">
        <v>14.38897068686558</v>
      </c>
      <c r="L183">
        <v>-2.8083313833468391</v>
      </c>
      <c r="M183">
        <v>1.179869973700395</v>
      </c>
      <c r="N183">
        <v>4.0575916228155986</v>
      </c>
      <c r="O183">
        <v>15.23727844503588</v>
      </c>
      <c r="P183">
        <v>-1.999503845208261</v>
      </c>
      <c r="Q183">
        <v>8.3890238963017971</v>
      </c>
      <c r="R183">
        <v>11.429772525859979</v>
      </c>
      <c r="S183">
        <v>19.806338028084902</v>
      </c>
      <c r="T183">
        <v>7.5859852135296846</v>
      </c>
      <c r="U183">
        <v>-3.113235733271952</v>
      </c>
      <c r="V183">
        <v>9.8988528431348346</v>
      </c>
      <c r="W183">
        <v>7.3460912508329734</v>
      </c>
      <c r="X183">
        <v>3.5654537852023549</v>
      </c>
      <c r="Y183">
        <v>14.68450277637684</v>
      </c>
      <c r="Z183">
        <v>11.14485672784439</v>
      </c>
      <c r="AA183">
        <v>11.69854659241388</v>
      </c>
      <c r="AB183">
        <v>12.377238078271221</v>
      </c>
      <c r="AC183">
        <v>2.845784957162663</v>
      </c>
      <c r="AD183">
        <v>8.0526412661963018</v>
      </c>
      <c r="AE183">
        <v>18.99894955023948</v>
      </c>
      <c r="AF183">
        <v>10.75032804498502</v>
      </c>
      <c r="AG183">
        <v>8.983003382089894</v>
      </c>
      <c r="AH183">
        <v>8.8468869123255232</v>
      </c>
      <c r="AI183">
        <v>8.2397003745320614</v>
      </c>
      <c r="AJ183">
        <v>15.55745292769492</v>
      </c>
      <c r="AK183">
        <v>17.149523624343949</v>
      </c>
      <c r="AL183">
        <v>7.5053941908710549</v>
      </c>
      <c r="AM183">
        <v>8.3492867288338353</v>
      </c>
      <c r="AN183">
        <v>7.6229695069816348</v>
      </c>
      <c r="AO183">
        <v>9.2204666237698589</v>
      </c>
      <c r="AP183">
        <v>4.0099886052318121</v>
      </c>
      <c r="AQ183">
        <v>11.24446778186142</v>
      </c>
      <c r="AR183">
        <v>7.4511126095754632</v>
      </c>
      <c r="AS183">
        <v>2.4788202070913621</v>
      </c>
      <c r="AT183">
        <v>2.6883037354562962</v>
      </c>
      <c r="AU183">
        <v>3.0293994871489249</v>
      </c>
      <c r="AV183">
        <v>5.7070093187473772</v>
      </c>
      <c r="AW183">
        <v>2.8418113124898001</v>
      </c>
      <c r="AX183">
        <v>6.8363326589287681</v>
      </c>
      <c r="AY183">
        <v>6.9203358070758894</v>
      </c>
      <c r="AZ183">
        <v>2.269219244390742</v>
      </c>
      <c r="BA183">
        <v>9.9078300530647976</v>
      </c>
      <c r="BB183">
        <v>11.094823738698681</v>
      </c>
      <c r="BC183">
        <v>9.3265041074539532</v>
      </c>
      <c r="BD183">
        <v>9.2270754612596004</v>
      </c>
      <c r="BE183">
        <v>9.4598098035712468</v>
      </c>
      <c r="BF183">
        <v>9.0401631191764498</v>
      </c>
      <c r="BG183">
        <v>8.3641546965956266</v>
      </c>
      <c r="BH183">
        <v>7.8689089559089123</v>
      </c>
      <c r="BI183">
        <v>8.7903433200464001</v>
      </c>
      <c r="BJ183">
        <v>2.7770399830021089</v>
      </c>
      <c r="BK183">
        <v>4.4065941017571424</v>
      </c>
      <c r="BL183">
        <v>5.5661603524372252</v>
      </c>
      <c r="BM183">
        <v>5.0563582623849932</v>
      </c>
      <c r="BN183">
        <v>4.1267674444069504</v>
      </c>
      <c r="BO183">
        <v>7.6702057938028041</v>
      </c>
      <c r="BP183">
        <v>7.1158726153082599</v>
      </c>
      <c r="BQ183">
        <v>4.6850965426576989</v>
      </c>
    </row>
    <row r="184" spans="1:69" x14ac:dyDescent="0.25">
      <c r="A184" t="s">
        <v>3377</v>
      </c>
      <c r="B184" t="s">
        <v>3378</v>
      </c>
      <c r="C184" t="s">
        <v>3023</v>
      </c>
      <c r="D184" t="s">
        <v>3024</v>
      </c>
      <c r="BD184">
        <v>0.30030030030030003</v>
      </c>
      <c r="BE184">
        <v>-0.12475049900197099</v>
      </c>
    </row>
    <row r="185" spans="1:69" x14ac:dyDescent="0.25">
      <c r="A185" t="s">
        <v>3379</v>
      </c>
      <c r="B185" t="s">
        <v>3380</v>
      </c>
      <c r="C185" t="s">
        <v>3023</v>
      </c>
      <c r="D185" t="s">
        <v>3024</v>
      </c>
      <c r="E185">
        <v>0.69792923379647709</v>
      </c>
      <c r="F185">
        <v>1.7977042900920781</v>
      </c>
      <c r="G185">
        <v>2.6808539698746099</v>
      </c>
      <c r="H185">
        <v>1.968498504418873</v>
      </c>
      <c r="I185">
        <v>3.474905476766105</v>
      </c>
      <c r="J185">
        <v>3.3974897561108408</v>
      </c>
      <c r="K185">
        <v>2.7554807754281532</v>
      </c>
      <c r="L185">
        <v>6.0569200626752187</v>
      </c>
      <c r="M185">
        <v>4.3119249655019383</v>
      </c>
      <c r="N185">
        <v>4.9252424269513311</v>
      </c>
      <c r="O185">
        <v>6.5171810515547977</v>
      </c>
      <c r="P185">
        <v>10.38756831881375</v>
      </c>
      <c r="Q185">
        <v>6.9328045920685373</v>
      </c>
      <c r="R185">
        <v>8.1666692732665815</v>
      </c>
      <c r="S185">
        <v>11.109402012222439</v>
      </c>
      <c r="T185">
        <v>14.68498347239936</v>
      </c>
      <c r="U185">
        <v>16.906857005944971</v>
      </c>
      <c r="V185">
        <v>14.383549419462151</v>
      </c>
      <c r="W185">
        <v>11.9566179733303</v>
      </c>
      <c r="X185">
        <v>13.69959501566416</v>
      </c>
      <c r="Y185">
        <v>17.150545424095391</v>
      </c>
      <c r="Z185">
        <v>15.37015958318529</v>
      </c>
      <c r="AA185">
        <v>16.163694123101781</v>
      </c>
      <c r="AB185">
        <v>7.3410758605734463</v>
      </c>
      <c r="AC185">
        <v>6.1712534792444238</v>
      </c>
      <c r="AD185">
        <v>15.41765557199175</v>
      </c>
      <c r="AE185">
        <v>13.213398064002069</v>
      </c>
      <c r="AF185">
        <v>15.744300788892691</v>
      </c>
      <c r="AG185">
        <v>6.3752494441105272</v>
      </c>
      <c r="AH185">
        <v>5.7159915513563018</v>
      </c>
      <c r="AI185">
        <v>6.0984441481020406</v>
      </c>
      <c r="AJ185">
        <v>2.602392859997734</v>
      </c>
      <c r="AK185">
        <v>1.014560271712361</v>
      </c>
      <c r="AL185">
        <v>1.288207765743864</v>
      </c>
      <c r="AM185">
        <v>1.7453779077374281</v>
      </c>
      <c r="AN185">
        <v>3.7549441367755421</v>
      </c>
      <c r="AO185">
        <v>2.2857130540219459</v>
      </c>
      <c r="AP185">
        <v>1.1871483310563249</v>
      </c>
      <c r="AQ185">
        <v>1.265244099154061</v>
      </c>
      <c r="AR185">
        <v>-0.114267129777524</v>
      </c>
      <c r="AS185">
        <v>2.6152344624631958</v>
      </c>
      <c r="AT185">
        <v>2.6258163039290259</v>
      </c>
      <c r="AU185">
        <v>2.6770925771160479</v>
      </c>
      <c r="AV185">
        <v>1.7535744475955739</v>
      </c>
      <c r="AW185">
        <v>2.290249028475706</v>
      </c>
      <c r="AX185">
        <v>3.0370233261701189</v>
      </c>
      <c r="AY185">
        <v>3.3654019617199258</v>
      </c>
      <c r="AZ185">
        <v>2.3761431029065858</v>
      </c>
      <c r="BA185">
        <v>3.9589493731206029</v>
      </c>
      <c r="BB185">
        <v>2.1156511055456022</v>
      </c>
      <c r="BC185">
        <v>2.3020238595857241</v>
      </c>
      <c r="BD185">
        <v>4.0279066739204001</v>
      </c>
      <c r="BE185">
        <v>1.0599131844563221</v>
      </c>
      <c r="BF185">
        <v>1.1344226644581701</v>
      </c>
      <c r="BG185">
        <v>1.227507505973999</v>
      </c>
      <c r="BH185">
        <v>0.29270462813610149</v>
      </c>
      <c r="BI185">
        <v>0.64624028445452431</v>
      </c>
      <c r="BJ185">
        <v>1.85078767452536</v>
      </c>
      <c r="BK185">
        <v>1.5982970380169561</v>
      </c>
      <c r="BL185">
        <v>1.619631901840475</v>
      </c>
      <c r="BM185">
        <v>1.7145617000724489</v>
      </c>
      <c r="BN185">
        <v>3.9411206077872829</v>
      </c>
      <c r="BO185">
        <v>7.1722247601644096</v>
      </c>
      <c r="BP185">
        <v>5.7331628303495723</v>
      </c>
      <c r="BQ185">
        <v>2.9227978230195668</v>
      </c>
    </row>
    <row r="186" spans="1:69" x14ac:dyDescent="0.25">
      <c r="A186" t="s">
        <v>3381</v>
      </c>
      <c r="B186" t="s">
        <v>3382</v>
      </c>
      <c r="C186" t="s">
        <v>3023</v>
      </c>
      <c r="D186" t="s">
        <v>3024</v>
      </c>
    </row>
    <row r="187" spans="1:69" x14ac:dyDescent="0.25">
      <c r="A187" t="s">
        <v>3383</v>
      </c>
      <c r="B187" t="s">
        <v>3384</v>
      </c>
      <c r="C187" t="s">
        <v>3023</v>
      </c>
      <c r="D187" t="s">
        <v>3024</v>
      </c>
      <c r="AT187">
        <v>-0.81666666666665622</v>
      </c>
      <c r="AU187">
        <v>-0.27957882257137262</v>
      </c>
      <c r="AV187">
        <v>0.23132868226714251</v>
      </c>
      <c r="AW187">
        <v>0.62496906263136742</v>
      </c>
      <c r="AX187">
        <v>1.909835535318648</v>
      </c>
      <c r="AY187">
        <v>3.5449859160503312</v>
      </c>
      <c r="AZ187">
        <v>5.8304841809271011</v>
      </c>
      <c r="BA187">
        <v>12.375409152991191</v>
      </c>
      <c r="BB187">
        <v>3.4688102375489311</v>
      </c>
      <c r="BC187">
        <v>3.256579590786242</v>
      </c>
      <c r="BD187">
        <v>4.0421886711638999</v>
      </c>
      <c r="BE187">
        <v>2.9477349525720919</v>
      </c>
      <c r="BF187">
        <v>1.0535482026593179</v>
      </c>
      <c r="BG187">
        <v>1.014014839241558</v>
      </c>
      <c r="BH187">
        <v>6.5290133028659936E-2</v>
      </c>
      <c r="BI187">
        <v>1.1092080580702659</v>
      </c>
      <c r="BJ187">
        <v>1.589094135677986</v>
      </c>
      <c r="BK187">
        <v>0.88931237097040394</v>
      </c>
      <c r="BL187">
        <v>0.49081536282067117</v>
      </c>
      <c r="BM187">
        <v>-0.40640291946584989</v>
      </c>
      <c r="BN187">
        <v>1.682211858760845</v>
      </c>
      <c r="BO187">
        <v>2.5061425061424969</v>
      </c>
      <c r="BP187">
        <v>0.95078299776282726</v>
      </c>
      <c r="BQ187">
        <v>0.59358923624846904</v>
      </c>
    </row>
    <row r="188" spans="1:69" x14ac:dyDescent="0.25">
      <c r="A188" t="s">
        <v>3385</v>
      </c>
      <c r="B188" t="s">
        <v>3386</v>
      </c>
      <c r="C188" t="s">
        <v>3023</v>
      </c>
      <c r="D188" t="s">
        <v>3024</v>
      </c>
    </row>
    <row r="189" spans="1:69" x14ac:dyDescent="0.25">
      <c r="A189" t="s">
        <v>3387</v>
      </c>
      <c r="B189" t="s">
        <v>3388</v>
      </c>
      <c r="C189" t="s">
        <v>3023</v>
      </c>
      <c r="D189" t="s">
        <v>3024</v>
      </c>
      <c r="E189">
        <v>6.9473684210528894</v>
      </c>
      <c r="F189">
        <v>1.640419947506089</v>
      </c>
      <c r="G189">
        <v>-0.51646223369849953</v>
      </c>
      <c r="H189">
        <v>1.456488447974964</v>
      </c>
      <c r="I189">
        <v>4.1795868814531927</v>
      </c>
      <c r="J189">
        <v>5.5686354793637518</v>
      </c>
      <c r="K189">
        <v>7.227621597877353</v>
      </c>
      <c r="L189">
        <v>6.811399634286877</v>
      </c>
      <c r="M189">
        <v>0.17062734843810129</v>
      </c>
      <c r="N189">
        <v>3.1869867957368569</v>
      </c>
      <c r="O189">
        <v>5.3498409098301662</v>
      </c>
      <c r="P189">
        <v>4.7306914823227224</v>
      </c>
      <c r="Q189">
        <v>5.1832376454913849</v>
      </c>
      <c r="R189">
        <v>23.070084025084441</v>
      </c>
      <c r="S189">
        <v>26.663034853748801</v>
      </c>
      <c r="T189">
        <v>20.90450945739979</v>
      </c>
      <c r="U189">
        <v>7.1583237311846482</v>
      </c>
      <c r="V189">
        <v>10.13296768740547</v>
      </c>
      <c r="W189">
        <v>6.1386926674274269</v>
      </c>
      <c r="X189">
        <v>8.2670469761757186</v>
      </c>
      <c r="Y189">
        <v>11.938230910708731</v>
      </c>
      <c r="Z189">
        <v>11.879913592528281</v>
      </c>
      <c r="AA189">
        <v>5.9035287843586346</v>
      </c>
      <c r="AB189">
        <v>6.3620334998529966</v>
      </c>
      <c r="AC189">
        <v>6.0871667357371617</v>
      </c>
      <c r="AD189">
        <v>5.6148392179322402</v>
      </c>
      <c r="AE189">
        <v>3.506414247582045</v>
      </c>
      <c r="AF189">
        <v>4.6812185462021274</v>
      </c>
      <c r="AG189">
        <v>8.8379370181777261</v>
      </c>
      <c r="AH189">
        <v>7.8442647374004393</v>
      </c>
      <c r="AI189">
        <v>9.0521315527977642</v>
      </c>
      <c r="AJ189">
        <v>11.79127033514159</v>
      </c>
      <c r="AK189">
        <v>9.5090414619015036</v>
      </c>
      <c r="AL189">
        <v>9.9736647602920918</v>
      </c>
      <c r="AM189">
        <v>12.3681943936948</v>
      </c>
      <c r="AN189">
        <v>12.343578517051331</v>
      </c>
      <c r="AO189">
        <v>10.373808588500181</v>
      </c>
      <c r="AP189">
        <v>11.3754928865122</v>
      </c>
      <c r="AQ189">
        <v>6.228004154245431</v>
      </c>
      <c r="AR189">
        <v>4.1426371808217111</v>
      </c>
      <c r="AS189">
        <v>4.3666645129168051</v>
      </c>
      <c r="AT189">
        <v>3.1482614459061788</v>
      </c>
      <c r="AU189">
        <v>3.2903447261315262</v>
      </c>
      <c r="AV189">
        <v>2.9141347005947922</v>
      </c>
      <c r="AW189">
        <v>7.4446246934273947</v>
      </c>
      <c r="AX189">
        <v>9.0633273703041706</v>
      </c>
      <c r="AY189">
        <v>7.921084400587886</v>
      </c>
      <c r="AZ189">
        <v>7.5986844105077447</v>
      </c>
      <c r="BA189">
        <v>20.28612109295543</v>
      </c>
      <c r="BB189">
        <v>13.647765063976131</v>
      </c>
      <c r="BC189">
        <v>12.938870563488919</v>
      </c>
      <c r="BD189">
        <v>11.9160927116277</v>
      </c>
      <c r="BE189">
        <v>9.6823518605568388</v>
      </c>
      <c r="BF189">
        <v>7.6921561189956469</v>
      </c>
      <c r="BG189">
        <v>7.1893840284702764</v>
      </c>
      <c r="BH189">
        <v>2.5293281725422858</v>
      </c>
      <c r="BI189">
        <v>3.7651191635658048</v>
      </c>
      <c r="BJ189">
        <v>4.0853736803260796</v>
      </c>
      <c r="BK189">
        <v>5.0780572586891681</v>
      </c>
      <c r="BL189">
        <v>10.578030567202481</v>
      </c>
      <c r="BM189">
        <v>9.7401161932012545</v>
      </c>
      <c r="BN189">
        <v>9.4964157728520515</v>
      </c>
      <c r="BO189">
        <v>19.873859964665549</v>
      </c>
      <c r="BP189">
        <v>30.76812806570052</v>
      </c>
      <c r="BQ189">
        <v>12.63253185304518</v>
      </c>
    </row>
    <row r="190" spans="1:69" x14ac:dyDescent="0.25">
      <c r="A190" t="s">
        <v>3389</v>
      </c>
      <c r="B190" t="s">
        <v>3390</v>
      </c>
      <c r="C190" t="s">
        <v>3023</v>
      </c>
      <c r="D190" t="s">
        <v>3024</v>
      </c>
      <c r="E190">
        <v>5.1177072415766592E-2</v>
      </c>
      <c r="F190">
        <v>0.61381074194672725</v>
      </c>
      <c r="G190">
        <v>0.7880020335559117</v>
      </c>
      <c r="H190">
        <v>0.44988752812000249</v>
      </c>
      <c r="I190">
        <v>2.413535704913746</v>
      </c>
      <c r="J190">
        <v>0.46161321671986172</v>
      </c>
      <c r="K190">
        <v>0.19347037509259291</v>
      </c>
      <c r="L190">
        <v>1.3758146270917671</v>
      </c>
      <c r="M190">
        <v>1.619047619535491</v>
      </c>
      <c r="N190">
        <v>1.827553889413559</v>
      </c>
      <c r="O190">
        <v>3.083294983670287</v>
      </c>
      <c r="P190">
        <v>1.919642857151415</v>
      </c>
      <c r="Q190">
        <v>5.4095488394892648</v>
      </c>
      <c r="R190">
        <v>6.8564305005337687</v>
      </c>
      <c r="S190">
        <v>16.268066627712471</v>
      </c>
      <c r="T190">
        <v>5.8810413065094407</v>
      </c>
      <c r="U190">
        <v>3.9499999994172241</v>
      </c>
      <c r="V190">
        <v>4.5855379188961347</v>
      </c>
      <c r="W190">
        <v>4.2005212326609653</v>
      </c>
      <c r="X190">
        <v>7.9888185961076843</v>
      </c>
      <c r="Y190">
        <v>13.80790190780079</v>
      </c>
      <c r="Z190">
        <v>7.3023283652621904</v>
      </c>
      <c r="AA190">
        <v>4.2505717632812408</v>
      </c>
      <c r="AB190">
        <v>2.1028412436816679</v>
      </c>
      <c r="AC190">
        <v>1.5826433285858701</v>
      </c>
      <c r="AD190">
        <v>1.0266198927515671</v>
      </c>
      <c r="AE190">
        <v>-6.6384108359355182E-2</v>
      </c>
      <c r="AF190">
        <v>0.99642309667917772</v>
      </c>
      <c r="AG190">
        <v>0.3592208449281698</v>
      </c>
      <c r="AH190">
        <v>0.20586725831774519</v>
      </c>
      <c r="AI190">
        <v>0.76948535495602344</v>
      </c>
      <c r="AJ190">
        <v>1.256260776746883</v>
      </c>
      <c r="AK190">
        <v>1.8245215698995749</v>
      </c>
      <c r="AL190">
        <v>0.45393007884038772</v>
      </c>
      <c r="AM190">
        <v>1.2684319010619569</v>
      </c>
      <c r="AN190">
        <v>0.9942069829338408</v>
      </c>
      <c r="AO190">
        <v>1.2557166111154761</v>
      </c>
      <c r="AP190">
        <v>1.3243512210060759</v>
      </c>
      <c r="AQ190">
        <v>0.55908129344249347</v>
      </c>
      <c r="AR190">
        <v>1.2471825694963641</v>
      </c>
      <c r="AS190">
        <v>1.4989611160577661</v>
      </c>
      <c r="AT190">
        <v>0.30706243602872202</v>
      </c>
      <c r="AU190">
        <v>1.0058309037903941</v>
      </c>
      <c r="AV190">
        <v>0.39166666666665712</v>
      </c>
      <c r="AW190">
        <v>0.47472307820433579</v>
      </c>
      <c r="AX190">
        <v>2.8558832476095928</v>
      </c>
      <c r="AY190">
        <v>2.4578934644209571</v>
      </c>
      <c r="AZ190">
        <v>4.1686330029888694</v>
      </c>
      <c r="BA190">
        <v>8.7586831772878355</v>
      </c>
      <c r="BB190">
        <v>2.4090530408219979</v>
      </c>
      <c r="BC190">
        <v>3.4912887261880021</v>
      </c>
      <c r="BD190">
        <v>5.8758024367877004</v>
      </c>
      <c r="BE190">
        <v>5.69819959165992</v>
      </c>
      <c r="BF190">
        <v>4.0271599157106026</v>
      </c>
      <c r="BG190">
        <v>2.6265269992915141</v>
      </c>
      <c r="BH190">
        <v>0.13749205846150431</v>
      </c>
      <c r="BI190">
        <v>0.73973402530003285</v>
      </c>
      <c r="BJ190">
        <v>0.87558591875987823</v>
      </c>
      <c r="BK190">
        <v>0.76157835939994412</v>
      </c>
      <c r="BL190">
        <v>-0.3550838210212453</v>
      </c>
      <c r="BM190">
        <v>-1.550275408037604</v>
      </c>
      <c r="BN190">
        <v>1.6307033730189791</v>
      </c>
      <c r="BO190">
        <v>2.859651288347111</v>
      </c>
      <c r="BP190">
        <v>1.4864135527703759</v>
      </c>
      <c r="BQ190">
        <v>0.69322555100453787</v>
      </c>
    </row>
    <row r="191" spans="1:69" x14ac:dyDescent="0.25">
      <c r="A191" t="s">
        <v>3391</v>
      </c>
      <c r="B191" t="s">
        <v>3392</v>
      </c>
      <c r="C191" t="s">
        <v>3023</v>
      </c>
      <c r="D191" t="s">
        <v>3024</v>
      </c>
      <c r="E191">
        <v>8.6644591627191012</v>
      </c>
      <c r="F191">
        <v>5.9167089883637543</v>
      </c>
      <c r="G191">
        <v>6.6410932635974937</v>
      </c>
      <c r="H191">
        <v>6.070143884285927</v>
      </c>
      <c r="I191">
        <v>9.792284866634839</v>
      </c>
      <c r="J191">
        <v>16.38996138944238</v>
      </c>
      <c r="K191">
        <v>8.8406037492220868</v>
      </c>
      <c r="L191">
        <v>9.7836025606341366</v>
      </c>
      <c r="M191">
        <v>19.086618545438039</v>
      </c>
      <c r="N191">
        <v>6.2361580607806122</v>
      </c>
      <c r="O191">
        <v>5.0252359007242449</v>
      </c>
      <c r="P191">
        <v>6.7906393649541474</v>
      </c>
      <c r="Q191">
        <v>7.2197221677054513</v>
      </c>
      <c r="R191">
        <v>9.4890510950339806</v>
      </c>
      <c r="S191">
        <v>16.89166666657032</v>
      </c>
      <c r="T191">
        <v>23.61873529633262</v>
      </c>
      <c r="U191">
        <v>33.483275663456638</v>
      </c>
      <c r="V191">
        <v>38.054091419679303</v>
      </c>
      <c r="W191">
        <v>57.84878262515052</v>
      </c>
      <c r="X191">
        <v>66.694422966487636</v>
      </c>
      <c r="Y191">
        <v>59.145071244491383</v>
      </c>
      <c r="Z191">
        <v>75.433268757606442</v>
      </c>
      <c r="AA191">
        <v>64.448158538792853</v>
      </c>
      <c r="AB191">
        <v>111.1506352091574</v>
      </c>
      <c r="AC191">
        <v>110.2085195625433</v>
      </c>
      <c r="AD191">
        <v>163.39950524368751</v>
      </c>
      <c r="AE191">
        <v>77.921025547359477</v>
      </c>
      <c r="AF191">
        <v>85.822306238184552</v>
      </c>
      <c r="AG191">
        <v>667.01932858596149</v>
      </c>
      <c r="AH191">
        <v>3398.679010053324</v>
      </c>
      <c r="AI191">
        <v>7481.663611245257</v>
      </c>
      <c r="AJ191">
        <v>409.53016662202282</v>
      </c>
      <c r="AK191">
        <v>73.528294244264146</v>
      </c>
      <c r="AL191">
        <v>48.579986446888491</v>
      </c>
      <c r="AM191">
        <v>23.73690505650459</v>
      </c>
      <c r="AN191">
        <v>11.128702970708851</v>
      </c>
      <c r="AO191">
        <v>11.537942411517729</v>
      </c>
      <c r="AP191">
        <v>8.5621894895365305</v>
      </c>
      <c r="AQ191">
        <v>7.2478217521346897</v>
      </c>
      <c r="AR191">
        <v>3.4696599629301899</v>
      </c>
      <c r="AS191">
        <v>3.7573383334447441</v>
      </c>
      <c r="AT191">
        <v>1.9770987850205319</v>
      </c>
      <c r="AU191">
        <v>0.1931350038537219</v>
      </c>
      <c r="AV191">
        <v>2.2593775336307229</v>
      </c>
      <c r="AW191">
        <v>3.6624732009223342</v>
      </c>
      <c r="AX191">
        <v>1.616301938625438</v>
      </c>
      <c r="AY191">
        <v>2.0022580124881859</v>
      </c>
      <c r="AZ191">
        <v>1.7799864468037181</v>
      </c>
      <c r="BA191">
        <v>5.7858759820675534</v>
      </c>
      <c r="BB191">
        <v>2.9362315359669968</v>
      </c>
      <c r="BC191">
        <v>1.5283205973290099</v>
      </c>
      <c r="BD191">
        <v>3.3693109533385308</v>
      </c>
      <c r="BE191">
        <v>3.6112129494016321</v>
      </c>
      <c r="BF191">
        <v>2.7678966608200191</v>
      </c>
      <c r="BG191">
        <v>3.4119457980746462</v>
      </c>
      <c r="BH191">
        <v>3.398091947463076</v>
      </c>
      <c r="BI191">
        <v>3.5571766355627892</v>
      </c>
      <c r="BJ191">
        <v>2.9949004580944281</v>
      </c>
      <c r="BK191">
        <v>1.509154230247419</v>
      </c>
      <c r="BL191">
        <v>2.2521219135802699</v>
      </c>
      <c r="BM191">
        <v>2.0024120575929181</v>
      </c>
      <c r="BN191">
        <v>4.2716638153679778</v>
      </c>
      <c r="BO191">
        <v>8.3337063009623087</v>
      </c>
      <c r="BP191">
        <v>6.4556134836958616</v>
      </c>
      <c r="BQ191">
        <v>2.0077073941271202</v>
      </c>
    </row>
    <row r="192" spans="1:69" x14ac:dyDescent="0.25">
      <c r="A192" t="s">
        <v>3393</v>
      </c>
      <c r="B192" t="s">
        <v>3394</v>
      </c>
      <c r="C192" t="s">
        <v>3023</v>
      </c>
      <c r="D192" t="s">
        <v>3024</v>
      </c>
      <c r="E192">
        <v>4.1548217798216136</v>
      </c>
      <c r="F192">
        <v>1.59563300452722</v>
      </c>
      <c r="G192">
        <v>5.7966522010137602</v>
      </c>
      <c r="H192">
        <v>5.625549370088236</v>
      </c>
      <c r="I192">
        <v>8.183079057003301</v>
      </c>
      <c r="J192">
        <v>2.5641025642844859</v>
      </c>
      <c r="K192">
        <v>5.3999999996807464</v>
      </c>
      <c r="L192">
        <v>6.2539531939773401</v>
      </c>
      <c r="M192">
        <v>2.3588064589059439</v>
      </c>
      <c r="N192">
        <v>1.955510322853842</v>
      </c>
      <c r="O192">
        <v>14.381461675732821</v>
      </c>
      <c r="P192">
        <v>21.403343536614301</v>
      </c>
      <c r="Q192">
        <v>8.2040341349883388</v>
      </c>
      <c r="R192">
        <v>16.580032263846402</v>
      </c>
      <c r="S192">
        <v>34.163591635916482</v>
      </c>
      <c r="T192">
        <v>6.761402704560771</v>
      </c>
      <c r="U192">
        <v>9.1992271361101121</v>
      </c>
      <c r="V192">
        <v>9.8987515973656564</v>
      </c>
      <c r="W192">
        <v>7.3345259391769204</v>
      </c>
      <c r="X192">
        <v>17.53333333275015</v>
      </c>
      <c r="Y192">
        <v>18.20051049385085</v>
      </c>
      <c r="Z192">
        <v>13.082598524167571</v>
      </c>
      <c r="AA192">
        <v>10.22172713768915</v>
      </c>
      <c r="AB192">
        <v>10.029356562048131</v>
      </c>
      <c r="AC192">
        <v>50.338975637449757</v>
      </c>
      <c r="AD192">
        <v>23.1031071803888</v>
      </c>
      <c r="AE192">
        <v>1.148137776533384</v>
      </c>
      <c r="AF192">
        <v>4.0697674418602396</v>
      </c>
      <c r="AG192">
        <v>13.86006916733189</v>
      </c>
      <c r="AH192">
        <v>12.24299065420551</v>
      </c>
      <c r="AI192">
        <v>12.177352206494639</v>
      </c>
      <c r="AJ192">
        <v>19.261458526628161</v>
      </c>
      <c r="AK192">
        <v>8.6510035786526451</v>
      </c>
      <c r="AL192">
        <v>6.7163110410997326</v>
      </c>
      <c r="AM192">
        <v>10.386473429951749</v>
      </c>
      <c r="AN192">
        <v>6.8319961098953357</v>
      </c>
      <c r="AO192">
        <v>7.4761037778790991</v>
      </c>
      <c r="AP192">
        <v>5.590259396506009</v>
      </c>
      <c r="AQ192">
        <v>9.2349343226712115</v>
      </c>
      <c r="AR192">
        <v>5.9390490178080819</v>
      </c>
      <c r="AS192">
        <v>3.9771250324927969</v>
      </c>
      <c r="AT192">
        <v>5.3455019556714189</v>
      </c>
      <c r="AU192">
        <v>2.722772277227651</v>
      </c>
      <c r="AV192">
        <v>2.2891566265060712</v>
      </c>
      <c r="AW192">
        <v>4.8292108362779507</v>
      </c>
      <c r="AX192">
        <v>6.5168539325843327</v>
      </c>
      <c r="AY192">
        <v>5.485232067510502</v>
      </c>
      <c r="AZ192">
        <v>2.9000000000000279</v>
      </c>
      <c r="BA192">
        <v>8.2604470359572488</v>
      </c>
      <c r="BB192">
        <v>4.2190305206462799</v>
      </c>
      <c r="BC192">
        <v>3.7898363479759078</v>
      </c>
      <c r="BD192">
        <v>4.7184170471842002</v>
      </c>
      <c r="BE192">
        <v>3.0269639112479632</v>
      </c>
      <c r="BF192">
        <v>2.582687661417947</v>
      </c>
      <c r="BG192">
        <v>3.5978234386421111</v>
      </c>
      <c r="BH192">
        <v>0.67419253684540836</v>
      </c>
      <c r="BI192">
        <v>1.2536988008098171</v>
      </c>
      <c r="BJ192">
        <v>2.853187725909474</v>
      </c>
      <c r="BK192">
        <v>5.3093466162770673</v>
      </c>
      <c r="BL192">
        <v>2.392065344224044</v>
      </c>
      <c r="BM192">
        <v>2.3931623931624029</v>
      </c>
      <c r="BN192">
        <v>3.927180221003324</v>
      </c>
      <c r="BO192">
        <v>5.821158112139547</v>
      </c>
      <c r="BP192">
        <v>5.9780251554140929</v>
      </c>
      <c r="BQ192">
        <v>3.21260487006347</v>
      </c>
    </row>
    <row r="193" spans="1:69" x14ac:dyDescent="0.25">
      <c r="A193" t="s">
        <v>3395</v>
      </c>
      <c r="B193" t="s">
        <v>3396</v>
      </c>
      <c r="C193" t="s">
        <v>3023</v>
      </c>
      <c r="D193" t="s">
        <v>3024</v>
      </c>
      <c r="AU193">
        <v>-1.301236174365624</v>
      </c>
      <c r="AV193">
        <v>0.92287409360582406</v>
      </c>
      <c r="AW193">
        <v>4.9640757674721723</v>
      </c>
      <c r="AX193">
        <v>3.9514623522090968</v>
      </c>
      <c r="AY193">
        <v>4.4298114337025423</v>
      </c>
      <c r="AZ193">
        <v>3.2387503582688071</v>
      </c>
      <c r="BA193">
        <v>11.9655746807329</v>
      </c>
      <c r="BB193">
        <v>1.4381353830895289</v>
      </c>
      <c r="BC193">
        <v>1.4421901735516871</v>
      </c>
      <c r="BD193">
        <v>4.6746987951807002</v>
      </c>
      <c r="BE193">
        <v>3.6141804788213809</v>
      </c>
      <c r="BF193">
        <v>3.3548100422128702</v>
      </c>
      <c r="BG193">
        <v>4.19174548581256</v>
      </c>
      <c r="BH193">
        <v>0.94904064369708141</v>
      </c>
      <c r="BI193">
        <v>-1.0423053341507409</v>
      </c>
      <c r="BJ193">
        <v>1.4179881966691961</v>
      </c>
      <c r="BK193">
        <v>2.109704641350175</v>
      </c>
      <c r="BL193">
        <v>0.26737967914443989</v>
      </c>
      <c r="BM193">
        <v>0.2181818181818328</v>
      </c>
      <c r="BN193">
        <v>2.6124818577648048</v>
      </c>
      <c r="BO193">
        <v>12.35266383781242</v>
      </c>
      <c r="BP193">
        <v>12.819974821653361</v>
      </c>
      <c r="BQ193">
        <v>2.2317277292170381</v>
      </c>
    </row>
    <row r="194" spans="1:69" x14ac:dyDescent="0.25">
      <c r="A194" t="s">
        <v>3397</v>
      </c>
      <c r="B194" t="s">
        <v>3398</v>
      </c>
      <c r="C194" t="s">
        <v>3023</v>
      </c>
      <c r="D194" t="s">
        <v>3024</v>
      </c>
      <c r="Q194">
        <v>6.0749999995151116</v>
      </c>
      <c r="R194">
        <v>8.3431534294721743</v>
      </c>
      <c r="S194">
        <v>23.167283010324759</v>
      </c>
      <c r="T194">
        <v>10.490992582377251</v>
      </c>
      <c r="U194">
        <v>7.6566496162451179</v>
      </c>
      <c r="V194">
        <v>4.5285820346222723</v>
      </c>
      <c r="W194">
        <v>5.7999999989995858</v>
      </c>
      <c r="X194">
        <v>5.7655954631934803</v>
      </c>
      <c r="Y194">
        <v>12.06434316364594</v>
      </c>
      <c r="Z194">
        <v>8.0542264761410554</v>
      </c>
      <c r="AA194">
        <v>5.535055350553483</v>
      </c>
      <c r="AB194">
        <v>7.9020979013986299</v>
      </c>
      <c r="AC194">
        <v>7.4206092035478619</v>
      </c>
      <c r="AD194">
        <v>3.7104072398190859</v>
      </c>
      <c r="AE194">
        <v>5.4537521815008407</v>
      </c>
      <c r="AF194">
        <v>3.3374706936972052</v>
      </c>
      <c r="AG194">
        <v>5.4450820766046357</v>
      </c>
      <c r="AH194">
        <v>4.4804455132266057</v>
      </c>
      <c r="AI194">
        <v>6.9533615990307043</v>
      </c>
      <c r="AJ194">
        <v>6.9656812776075281</v>
      </c>
      <c r="AK194">
        <v>4.3096145700974811</v>
      </c>
      <c r="AL194">
        <v>4.9741143031164574</v>
      </c>
      <c r="AM194">
        <v>2.8527221738713409</v>
      </c>
      <c r="AN194">
        <v>17.280932681459038</v>
      </c>
      <c r="AO194">
        <v>11.62417829084481</v>
      </c>
      <c r="AP194">
        <v>3.9643780522840908</v>
      </c>
      <c r="AQ194">
        <v>13.57419176568089</v>
      </c>
      <c r="AR194">
        <v>14.932181740770099</v>
      </c>
      <c r="AS194">
        <v>15.595893310753519</v>
      </c>
      <c r="AT194">
        <v>9.2981733278396828</v>
      </c>
      <c r="AU194">
        <v>11.79944709726063</v>
      </c>
      <c r="AV194">
        <v>14.709077966355689</v>
      </c>
      <c r="AW194">
        <v>2.1589313126694551</v>
      </c>
      <c r="AX194">
        <v>1.7808043992582649</v>
      </c>
      <c r="AY194">
        <v>2.368462384168295</v>
      </c>
      <c r="AZ194">
        <v>0.9113504556752402</v>
      </c>
      <c r="BA194">
        <v>10.76141823268266</v>
      </c>
      <c r="BB194">
        <v>6.918325326012237</v>
      </c>
      <c r="BC194">
        <v>6.0136089356785636</v>
      </c>
      <c r="BD194">
        <v>4.4408340102897101</v>
      </c>
      <c r="BE194">
        <v>4.5372050816697191</v>
      </c>
      <c r="BF194">
        <v>4.9603174603175022</v>
      </c>
      <c r="BG194">
        <v>5.2221172022684081</v>
      </c>
      <c r="BH194">
        <v>5.9959577812710743</v>
      </c>
      <c r="BI194">
        <v>6.6737288135592951</v>
      </c>
      <c r="BJ194">
        <v>5.4220456802383357</v>
      </c>
      <c r="BK194">
        <v>4.374489214531625</v>
      </c>
      <c r="BL194">
        <v>3.9286729093959729</v>
      </c>
      <c r="BM194">
        <v>4.8716739856555469</v>
      </c>
      <c r="BN194">
        <v>4.4835901404239822</v>
      </c>
      <c r="BO194">
        <v>5.2532392221524056</v>
      </c>
      <c r="BP194">
        <v>2.298699912967908</v>
      </c>
      <c r="BQ194">
        <v>0.60240392110791674</v>
      </c>
    </row>
    <row r="195" spans="1:69" x14ac:dyDescent="0.25">
      <c r="A195" t="s">
        <v>3399</v>
      </c>
      <c r="B195" t="s">
        <v>3400</v>
      </c>
      <c r="C195" t="s">
        <v>3023</v>
      </c>
      <c r="D195" t="s">
        <v>3024</v>
      </c>
      <c r="P195">
        <v>1.0999999990002189</v>
      </c>
      <c r="Q195">
        <v>-9.8911967360122796E-2</v>
      </c>
      <c r="R195">
        <v>2.4752475247522598</v>
      </c>
      <c r="S195">
        <v>7.053140095652342</v>
      </c>
      <c r="T195">
        <v>2.2563176895509409</v>
      </c>
      <c r="U195">
        <v>4.4130626655288863</v>
      </c>
      <c r="V195">
        <v>4.9027895182156263</v>
      </c>
      <c r="W195">
        <v>8.1012658227846472</v>
      </c>
      <c r="X195">
        <v>7.0257611241217983</v>
      </c>
      <c r="Y195">
        <v>9.6827133479213234</v>
      </c>
      <c r="Z195">
        <v>19.127182044887739</v>
      </c>
      <c r="AA195">
        <v>103.5587188612099</v>
      </c>
      <c r="AB195">
        <v>25.534759358289008</v>
      </c>
      <c r="AC195">
        <v>15.40099942655816</v>
      </c>
      <c r="AD195">
        <v>11.52126073684957</v>
      </c>
      <c r="AE195">
        <v>16.54996817313808</v>
      </c>
      <c r="AF195">
        <v>26.379027853632412</v>
      </c>
      <c r="AG195">
        <v>58.720829732065312</v>
      </c>
      <c r="AH195">
        <v>244.5509329848264</v>
      </c>
      <c r="AI195">
        <v>567.87880066619095</v>
      </c>
      <c r="AJ195">
        <v>76.769499208734686</v>
      </c>
      <c r="AK195">
        <v>46.098562103743063</v>
      </c>
      <c r="AL195">
        <v>36.964166612071779</v>
      </c>
      <c r="AM195">
        <v>32.991276609352283</v>
      </c>
      <c r="AN195">
        <v>27.951388563303968</v>
      </c>
      <c r="AO195">
        <v>19.79496691967066</v>
      </c>
      <c r="AP195">
        <v>14.913158614959981</v>
      </c>
      <c r="AQ195">
        <v>11.597855425723591</v>
      </c>
      <c r="AR195">
        <v>7.1540729117985302</v>
      </c>
      <c r="AS195">
        <v>9.900175388430652</v>
      </c>
      <c r="AT195">
        <v>5.4083354556614953</v>
      </c>
      <c r="AU195">
        <v>1.9052821504805419</v>
      </c>
      <c r="AV195">
        <v>0.68270137578763213</v>
      </c>
      <c r="AW195">
        <v>3.3826468188469909</v>
      </c>
      <c r="AX195">
        <v>2.183798723902509</v>
      </c>
      <c r="AY195">
        <v>1.284693943664164</v>
      </c>
      <c r="AZ195">
        <v>2.4587431238538988</v>
      </c>
      <c r="BA195">
        <v>4.1649719352477872</v>
      </c>
      <c r="BB195">
        <v>3.7953924248339921</v>
      </c>
      <c r="BC195">
        <v>2.5806937025054779</v>
      </c>
      <c r="BD195">
        <v>4.2394014962593207</v>
      </c>
      <c r="BE195">
        <v>3.560371517027928</v>
      </c>
      <c r="BF195">
        <v>0.99198260633233504</v>
      </c>
      <c r="BG195">
        <v>5.3821313239980212E-2</v>
      </c>
      <c r="BH195">
        <v>-0.8741258741258624</v>
      </c>
      <c r="BI195">
        <v>-0.66476733143396205</v>
      </c>
      <c r="BJ195">
        <v>2.075935536738593</v>
      </c>
      <c r="BK195">
        <v>1.8129515654268851</v>
      </c>
      <c r="BL195">
        <v>2.2274788093829141</v>
      </c>
      <c r="BM195">
        <v>3.37446972618589</v>
      </c>
      <c r="BN195">
        <v>5.0550270471927208</v>
      </c>
      <c r="BO195">
        <v>14.42945075757577</v>
      </c>
      <c r="BP195">
        <v>11.528912796110481</v>
      </c>
      <c r="BQ195">
        <v>3.7906089763019661</v>
      </c>
    </row>
    <row r="196" spans="1:69" x14ac:dyDescent="0.25">
      <c r="A196" t="s">
        <v>3401</v>
      </c>
      <c r="B196" t="s">
        <v>3402</v>
      </c>
      <c r="C196" t="s">
        <v>3023</v>
      </c>
      <c r="D196" t="s">
        <v>3024</v>
      </c>
    </row>
    <row r="197" spans="1:69" x14ac:dyDescent="0.25">
      <c r="A197" t="s">
        <v>3403</v>
      </c>
      <c r="B197" t="s">
        <v>3404</v>
      </c>
      <c r="C197" t="s">
        <v>3023</v>
      </c>
      <c r="D197" t="s">
        <v>3024</v>
      </c>
    </row>
    <row r="198" spans="1:69" x14ac:dyDescent="0.25">
      <c r="A198" t="s">
        <v>3405</v>
      </c>
      <c r="B198" t="s">
        <v>3406</v>
      </c>
      <c r="C198" t="s">
        <v>3023</v>
      </c>
      <c r="D198" t="s">
        <v>3024</v>
      </c>
    </row>
    <row r="199" spans="1:69" x14ac:dyDescent="0.25">
      <c r="A199" t="s">
        <v>3407</v>
      </c>
      <c r="B199" t="s">
        <v>3408</v>
      </c>
      <c r="C199" t="s">
        <v>3023</v>
      </c>
      <c r="D199" t="s">
        <v>3024</v>
      </c>
      <c r="E199">
        <v>3.0465927783269962</v>
      </c>
      <c r="F199">
        <v>1.548996969898716</v>
      </c>
      <c r="G199">
        <v>2.6620641793476332</v>
      </c>
      <c r="H199">
        <v>2.021582727597893</v>
      </c>
      <c r="I199">
        <v>3.444898482227678</v>
      </c>
      <c r="J199">
        <v>3.4249277774556619</v>
      </c>
      <c r="K199">
        <v>5.0392672185818306</v>
      </c>
      <c r="L199">
        <v>5.5264760075309232</v>
      </c>
      <c r="M199">
        <v>6.0813617114861538</v>
      </c>
      <c r="N199">
        <v>8.7827710555411969</v>
      </c>
      <c r="O199">
        <v>6.3801444900167326</v>
      </c>
      <c r="P199">
        <v>11.946898365405611</v>
      </c>
      <c r="Q199">
        <v>10.66335597594766</v>
      </c>
      <c r="R199">
        <v>12.97460852393332</v>
      </c>
      <c r="S199">
        <v>25.082777858952721</v>
      </c>
      <c r="T199">
        <v>15.271685751848331</v>
      </c>
      <c r="U199">
        <v>21.14190480319553</v>
      </c>
      <c r="V199">
        <v>31.01674909888068</v>
      </c>
      <c r="W199">
        <v>21.038772359938211</v>
      </c>
      <c r="X199">
        <v>21.899224806201541</v>
      </c>
      <c r="Y199">
        <v>15.86748038360944</v>
      </c>
      <c r="Z199">
        <v>19.040410746691482</v>
      </c>
      <c r="AA199">
        <v>21.679283727709471</v>
      </c>
      <c r="AB199">
        <v>24.00276238029172</v>
      </c>
      <c r="AC199">
        <v>28.384638889710281</v>
      </c>
      <c r="AD199">
        <v>19.461410007869571</v>
      </c>
      <c r="AE199">
        <v>12.33133348972186</v>
      </c>
      <c r="AF199">
        <v>9.6348318624575349</v>
      </c>
      <c r="AG199">
        <v>10.101632115226611</v>
      </c>
      <c r="AH199">
        <v>12.686303645614871</v>
      </c>
      <c r="AI199">
        <v>13.63057056930745</v>
      </c>
      <c r="AJ199">
        <v>11.849484177367479</v>
      </c>
      <c r="AK199">
        <v>9.5592603317750839</v>
      </c>
      <c r="AL199">
        <v>6.7837799466540671</v>
      </c>
      <c r="AM199">
        <v>5.4204401924162582</v>
      </c>
      <c r="AN199">
        <v>4.2228161409948619</v>
      </c>
      <c r="AO199">
        <v>3.0689773250978871</v>
      </c>
      <c r="AP199">
        <v>2.336862983141164</v>
      </c>
      <c r="AQ199">
        <v>2.5727522590912968</v>
      </c>
      <c r="AR199">
        <v>2.3400949031216949</v>
      </c>
      <c r="AS199">
        <v>2.853030392871569</v>
      </c>
      <c r="AT199">
        <v>4.3699033055179299</v>
      </c>
      <c r="AU199">
        <v>3.600346582909141</v>
      </c>
      <c r="AV199">
        <v>3.2189909068289508</v>
      </c>
      <c r="AW199">
        <v>2.3653620409730189</v>
      </c>
      <c r="AX199">
        <v>2.2771639488783371</v>
      </c>
      <c r="AY199">
        <v>3.1076654587105002</v>
      </c>
      <c r="AZ199">
        <v>2.4539652813874309</v>
      </c>
      <c r="BA199">
        <v>2.58850657657959</v>
      </c>
      <c r="BB199">
        <v>-0.83553002150415667</v>
      </c>
      <c r="BC199">
        <v>1.4025728989536921</v>
      </c>
      <c r="BD199">
        <v>3.653011004307241</v>
      </c>
      <c r="BE199">
        <v>2.773338540515863</v>
      </c>
      <c r="BF199">
        <v>0.27441666666666309</v>
      </c>
      <c r="BG199">
        <v>-0.2781533674674283</v>
      </c>
      <c r="BH199">
        <v>0.48793862390471959</v>
      </c>
      <c r="BI199">
        <v>0.60739707464171855</v>
      </c>
      <c r="BJ199">
        <v>1.368614116434723</v>
      </c>
      <c r="BK199">
        <v>0.99371568346832595</v>
      </c>
      <c r="BL199">
        <v>0.33817841004603361</v>
      </c>
      <c r="BM199">
        <v>-1.243832995753053E-2</v>
      </c>
      <c r="BN199">
        <v>1.265657190690439</v>
      </c>
      <c r="BO199">
        <v>7.8326912423332313</v>
      </c>
      <c r="BP199">
        <v>4.3112819189867233</v>
      </c>
      <c r="BQ199">
        <v>2.416131877918839</v>
      </c>
    </row>
    <row r="200" spans="1:69" x14ac:dyDescent="0.25">
      <c r="A200" t="s">
        <v>3409</v>
      </c>
      <c r="B200" t="s">
        <v>3410</v>
      </c>
      <c r="C200" t="s">
        <v>3023</v>
      </c>
      <c r="D200" t="s">
        <v>3024</v>
      </c>
      <c r="E200">
        <v>8.18181818181802</v>
      </c>
      <c r="F200">
        <v>18.487394957983231</v>
      </c>
      <c r="G200">
        <v>1.4184397163120761</v>
      </c>
      <c r="H200">
        <v>2.0979020979021059</v>
      </c>
      <c r="I200">
        <v>1.369863013698648</v>
      </c>
      <c r="J200">
        <v>3.8592981578051981</v>
      </c>
      <c r="K200">
        <v>2.873194221603256</v>
      </c>
      <c r="L200">
        <v>1.3652675922190529</v>
      </c>
      <c r="M200">
        <v>0.70807357785436553</v>
      </c>
      <c r="N200">
        <v>2.2468475357471651</v>
      </c>
      <c r="O200">
        <v>-0.85955602100690864</v>
      </c>
      <c r="P200">
        <v>4.9532569364098658</v>
      </c>
      <c r="Q200">
        <v>9.1803749730368533</v>
      </c>
      <c r="R200">
        <v>12.796894532602041</v>
      </c>
      <c r="S200">
        <v>25.233317779107502</v>
      </c>
      <c r="T200">
        <v>6.6930600836674774</v>
      </c>
      <c r="U200">
        <v>4.4746147466449839</v>
      </c>
      <c r="V200">
        <v>9.359852916628375</v>
      </c>
      <c r="W200">
        <v>10.66024759291814</v>
      </c>
      <c r="X200">
        <v>28.161038602443611</v>
      </c>
      <c r="Y200">
        <v>22.447330136217669</v>
      </c>
      <c r="Z200">
        <v>12.974697469819301</v>
      </c>
      <c r="AA200">
        <v>5.1200654371318786</v>
      </c>
      <c r="AB200">
        <v>13.43375556316307</v>
      </c>
      <c r="AC200">
        <v>20.311462546025481</v>
      </c>
      <c r="AD200">
        <v>25.210716435881821</v>
      </c>
      <c r="AE200">
        <v>31.74259726729986</v>
      </c>
      <c r="AF200">
        <v>21.810274035098299</v>
      </c>
      <c r="AG200">
        <v>22.594257178526799</v>
      </c>
      <c r="AH200">
        <v>26.42212672355863</v>
      </c>
      <c r="AI200">
        <v>37.259956179920138</v>
      </c>
      <c r="AJ200">
        <v>24.225352112676308</v>
      </c>
      <c r="AK200">
        <v>15.192743764172031</v>
      </c>
      <c r="AL200">
        <v>18.208661417322791</v>
      </c>
      <c r="AM200">
        <v>20.5661948376355</v>
      </c>
      <c r="AN200">
        <v>13.42541436464065</v>
      </c>
      <c r="AO200">
        <v>9.799683390160828</v>
      </c>
      <c r="AP200">
        <v>6.9495660853411758</v>
      </c>
      <c r="AQ200">
        <v>11.553268435583909</v>
      </c>
      <c r="AR200">
        <v>6.7522658610272481</v>
      </c>
      <c r="AS200">
        <v>8.9821597675002245</v>
      </c>
      <c r="AT200">
        <v>7.2680602858482528</v>
      </c>
      <c r="AU200">
        <v>10.51024208566119</v>
      </c>
      <c r="AV200">
        <v>14.236797049914269</v>
      </c>
      <c r="AW200">
        <v>4.3232649296749113</v>
      </c>
      <c r="AX200">
        <v>6.8073820311637698</v>
      </c>
      <c r="AY200">
        <v>9.589349411292293</v>
      </c>
      <c r="AZ200">
        <v>8.1304741769857714</v>
      </c>
      <c r="BA200">
        <v>10.154784648902289</v>
      </c>
      <c r="BB200">
        <v>2.5919467343056679</v>
      </c>
      <c r="BC200">
        <v>4.651162790697648</v>
      </c>
      <c r="BD200">
        <v>8.2539682539682993</v>
      </c>
      <c r="BE200">
        <v>3.6759189797449561</v>
      </c>
      <c r="BF200">
        <v>2.683857387185824</v>
      </c>
      <c r="BG200">
        <v>5.0288276745676619</v>
      </c>
      <c r="BH200">
        <v>3.1290027447392541</v>
      </c>
      <c r="BI200">
        <v>4.0868228057724147</v>
      </c>
      <c r="BJ200">
        <v>3.602477413489428</v>
      </c>
      <c r="BK200">
        <v>3.9756101574069391</v>
      </c>
      <c r="BL200">
        <v>2.7570972756277472</v>
      </c>
      <c r="BM200">
        <v>1.7675159235669831</v>
      </c>
      <c r="BN200">
        <v>4.7879831012359988</v>
      </c>
      <c r="BO200">
        <v>9.7655666716440219</v>
      </c>
      <c r="BP200">
        <v>4.6320228540335568</v>
      </c>
      <c r="BQ200">
        <v>3.8354027172853251</v>
      </c>
    </row>
    <row r="201" spans="1:69" x14ac:dyDescent="0.25">
      <c r="A201" t="s">
        <v>3411</v>
      </c>
      <c r="B201" t="s">
        <v>3412</v>
      </c>
      <c r="C201" t="s">
        <v>3023</v>
      </c>
      <c r="D201" t="s">
        <v>3024</v>
      </c>
      <c r="AP201">
        <v>7.0870059120570881</v>
      </c>
      <c r="AQ201">
        <v>5.5796450583826767</v>
      </c>
      <c r="AR201">
        <v>5.5443918036874678</v>
      </c>
      <c r="AS201">
        <v>2.7981989243575769</v>
      </c>
      <c r="AT201">
        <v>1.222784758788984</v>
      </c>
      <c r="AU201">
        <v>5.7095158597662587</v>
      </c>
      <c r="AV201">
        <v>4.4030322173088798</v>
      </c>
      <c r="AW201">
        <v>3.0041749863859328</v>
      </c>
      <c r="AX201">
        <v>4.1072507071593103</v>
      </c>
      <c r="AY201">
        <v>3.842341256247821</v>
      </c>
      <c r="AZ201">
        <v>1.859743793511109</v>
      </c>
      <c r="BA201">
        <v>9.8899978869184917</v>
      </c>
      <c r="BB201">
        <v>2.7539348508315089</v>
      </c>
      <c r="BC201">
        <v>3.7491572759709602</v>
      </c>
      <c r="BD201">
        <v>2.8772435849594</v>
      </c>
      <c r="BE201">
        <v>2.7790876828249229</v>
      </c>
      <c r="BF201">
        <v>1.724399336269308</v>
      </c>
      <c r="BG201">
        <v>1.7329851003744721</v>
      </c>
      <c r="BH201">
        <v>1.431611458104765</v>
      </c>
      <c r="BI201">
        <v>-0.21910660490731559</v>
      </c>
      <c r="BJ201">
        <v>0.21257093422888099</v>
      </c>
      <c r="BK201">
        <v>-0.19510777373073471</v>
      </c>
      <c r="BL201">
        <v>1.580183336394551</v>
      </c>
      <c r="BM201">
        <v>-0.73533200109219066</v>
      </c>
      <c r="BN201">
        <v>1.237481028313685</v>
      </c>
      <c r="BO201">
        <v>3.7412239185207721</v>
      </c>
      <c r="BP201">
        <v>5.8711017767898763</v>
      </c>
      <c r="BQ201">
        <v>53.669145830378227</v>
      </c>
    </row>
    <row r="202" spans="1:69" x14ac:dyDescent="0.25">
      <c r="A202" t="s">
        <v>3413</v>
      </c>
      <c r="B202" t="s">
        <v>3414</v>
      </c>
      <c r="C202" t="s">
        <v>3023</v>
      </c>
      <c r="D202" t="s">
        <v>3024</v>
      </c>
    </row>
    <row r="203" spans="1:69" x14ac:dyDescent="0.25">
      <c r="A203" t="s">
        <v>3415</v>
      </c>
      <c r="B203" t="s">
        <v>3416</v>
      </c>
      <c r="C203" t="s">
        <v>3023</v>
      </c>
      <c r="D203" t="s">
        <v>3024</v>
      </c>
    </row>
    <row r="204" spans="1:69" x14ac:dyDescent="0.25">
      <c r="A204" t="s">
        <v>3417</v>
      </c>
      <c r="B204" t="s">
        <v>3418</v>
      </c>
      <c r="C204" t="s">
        <v>3023</v>
      </c>
      <c r="D204" t="s">
        <v>3024</v>
      </c>
    </row>
    <row r="205" spans="1:69" x14ac:dyDescent="0.25">
      <c r="A205" t="s">
        <v>3419</v>
      </c>
      <c r="B205" t="s">
        <v>3420</v>
      </c>
      <c r="C205" t="s">
        <v>3023</v>
      </c>
      <c r="D205" t="s">
        <v>3024</v>
      </c>
      <c r="Y205">
        <v>6.7999999990002227</v>
      </c>
      <c r="Z205">
        <v>8.5205992510161987</v>
      </c>
      <c r="AA205">
        <v>5.6999999999997923</v>
      </c>
      <c r="AB205">
        <v>2.7436140009461658</v>
      </c>
      <c r="AC205">
        <v>1.104972375700678</v>
      </c>
      <c r="AD205">
        <v>1.9125683069392541</v>
      </c>
      <c r="AE205">
        <v>0.75757575757570883</v>
      </c>
      <c r="AF205">
        <v>2.6852846401718971</v>
      </c>
      <c r="AG205">
        <v>4.6025104602508531</v>
      </c>
      <c r="AH205">
        <v>3.300000000000153</v>
      </c>
      <c r="AI205">
        <v>3.0009680542110968</v>
      </c>
      <c r="AJ205">
        <v>4.4172932330825452</v>
      </c>
      <c r="AK205">
        <v>3.0603060306031118</v>
      </c>
      <c r="AL205">
        <v>-0.87336244541480035</v>
      </c>
      <c r="AM205">
        <v>1.32158590308376</v>
      </c>
      <c r="AN205">
        <v>2.9565217391303009</v>
      </c>
      <c r="AO205">
        <v>4.9045346062053241</v>
      </c>
      <c r="AP205">
        <v>4.8344898191332204</v>
      </c>
      <c r="AQ205">
        <v>2.9513888888889048</v>
      </c>
      <c r="AR205">
        <v>2.1817032040472251</v>
      </c>
      <c r="AS205">
        <v>1.6503352243423191</v>
      </c>
      <c r="AT205">
        <v>1.4713343480468299</v>
      </c>
      <c r="AU205">
        <v>0.2399999999999517</v>
      </c>
      <c r="AV205">
        <v>2.2645650438946872</v>
      </c>
      <c r="AW205">
        <v>6.7993366500827852</v>
      </c>
      <c r="AX205">
        <v>8.8143953233468295</v>
      </c>
      <c r="AY205">
        <v>11.83580961974312</v>
      </c>
      <c r="AZ205">
        <v>13.758162575996421</v>
      </c>
      <c r="BA205">
        <v>15.05014515703332</v>
      </c>
      <c r="BB205">
        <v>-4.8632780162256468</v>
      </c>
      <c r="BC205">
        <v>-2.4252567516171379</v>
      </c>
      <c r="BD205">
        <v>1.1383662352920201</v>
      </c>
      <c r="BE205">
        <v>2.3153485343166111</v>
      </c>
      <c r="BF205">
        <v>3.221977568292933</v>
      </c>
      <c r="BG205">
        <v>3.3497208565952339</v>
      </c>
      <c r="BH205">
        <v>1.8140772393776039</v>
      </c>
      <c r="BI205">
        <v>2.6765917009818958</v>
      </c>
      <c r="BJ205">
        <v>0.39487891408300518</v>
      </c>
      <c r="BK205">
        <v>0.25581538272440812</v>
      </c>
      <c r="BL205">
        <v>-0.66664112486114724</v>
      </c>
      <c r="BM205">
        <v>-2.5403150300475978</v>
      </c>
      <c r="BN205">
        <v>2.3044656574200308</v>
      </c>
      <c r="BO205">
        <v>4.9952755374076059</v>
      </c>
      <c r="BP205">
        <v>3.027648991989015</v>
      </c>
      <c r="BQ205">
        <v>1.267343102923753</v>
      </c>
    </row>
    <row r="206" spans="1:69" x14ac:dyDescent="0.25">
      <c r="A206" t="s">
        <v>3421</v>
      </c>
      <c r="B206" t="s">
        <v>3422</v>
      </c>
      <c r="C206" t="s">
        <v>3023</v>
      </c>
      <c r="D206" t="s">
        <v>3024</v>
      </c>
      <c r="AJ206">
        <v>230.62249490017831</v>
      </c>
      <c r="AK206">
        <v>211.20558761008181</v>
      </c>
      <c r="AL206">
        <v>255.1668618266981</v>
      </c>
      <c r="AM206">
        <v>136.75939281544069</v>
      </c>
      <c r="AN206">
        <v>32.242484725759702</v>
      </c>
      <c r="AO206">
        <v>38.829301338285177</v>
      </c>
      <c r="AP206">
        <v>154.76348043630901</v>
      </c>
      <c r="AQ206">
        <v>59.096582754116682</v>
      </c>
      <c r="AR206">
        <v>45.803781132636253</v>
      </c>
      <c r="AS206">
        <v>45.666594044023817</v>
      </c>
      <c r="AT206">
        <v>34.477012349352741</v>
      </c>
      <c r="AU206">
        <v>22.539886260538569</v>
      </c>
      <c r="AV206">
        <v>15.273488993625479</v>
      </c>
      <c r="AW206">
        <v>11.874363593639879</v>
      </c>
      <c r="AX206">
        <v>9.0149128334383484</v>
      </c>
      <c r="AY206">
        <v>6.558514122769834</v>
      </c>
      <c r="AZ206">
        <v>4.8373292831398906</v>
      </c>
      <c r="BA206">
        <v>7.8508025571448163</v>
      </c>
      <c r="BB206">
        <v>5.5874200426439282</v>
      </c>
      <c r="BC206">
        <v>6.0914166860189098</v>
      </c>
      <c r="BD206">
        <v>5.7892532881588004</v>
      </c>
      <c r="BE206">
        <v>3.3349226769344211</v>
      </c>
      <c r="BF206">
        <v>3.984712355481296</v>
      </c>
      <c r="BG206">
        <v>1.068309876842982</v>
      </c>
      <c r="BH206">
        <v>-0.5941564374952033</v>
      </c>
      <c r="BI206">
        <v>-1.5447966681389671</v>
      </c>
      <c r="BJ206">
        <v>1.3390212110439019</v>
      </c>
      <c r="BK206">
        <v>4.6254844313777852</v>
      </c>
      <c r="BL206">
        <v>3.8278543259943758</v>
      </c>
      <c r="BM206">
        <v>2.631073111847428</v>
      </c>
      <c r="BN206">
        <v>5.0523287609658203</v>
      </c>
      <c r="BO206">
        <v>13.795488743252079</v>
      </c>
      <c r="BP206">
        <v>10.39718747649958</v>
      </c>
      <c r="BQ206">
        <v>5.7214057435443859</v>
      </c>
    </row>
    <row r="207" spans="1:69" x14ac:dyDescent="0.25">
      <c r="A207" t="s">
        <v>3423</v>
      </c>
      <c r="B207" t="s">
        <v>3424</v>
      </c>
      <c r="C207" t="s">
        <v>3023</v>
      </c>
      <c r="D207" t="s">
        <v>3024</v>
      </c>
      <c r="AL207">
        <v>874.24572038018789</v>
      </c>
      <c r="AM207">
        <v>307.72263555319319</v>
      </c>
      <c r="AN207">
        <v>197.41426808425101</v>
      </c>
      <c r="AO207">
        <v>47.75201220099391</v>
      </c>
      <c r="AP207">
        <v>14.761329268806</v>
      </c>
      <c r="AQ207">
        <v>27.685679807674209</v>
      </c>
      <c r="AR207">
        <v>85.746494096063557</v>
      </c>
      <c r="AS207">
        <v>20.79876065587041</v>
      </c>
      <c r="AT207">
        <v>21.477007211715851</v>
      </c>
      <c r="AU207">
        <v>15.788730791446261</v>
      </c>
      <c r="AV207">
        <v>13.66329302286657</v>
      </c>
      <c r="AW207">
        <v>10.888615732621581</v>
      </c>
      <c r="AX207">
        <v>12.685303950734941</v>
      </c>
      <c r="AY207">
        <v>9.6686545478926451</v>
      </c>
      <c r="AZ207">
        <v>9.0072986886107902</v>
      </c>
      <c r="BA207">
        <v>14.11076778404423</v>
      </c>
      <c r="BB207">
        <v>11.647329576411771</v>
      </c>
      <c r="BC207">
        <v>6.849392302550247</v>
      </c>
      <c r="BD207">
        <v>8.4404648593257008</v>
      </c>
      <c r="BE207">
        <v>5.0747430079914899</v>
      </c>
      <c r="BF207">
        <v>6.7546683390348612</v>
      </c>
      <c r="BG207">
        <v>7.8201697001384494</v>
      </c>
      <c r="BH207">
        <v>15.53439599357014</v>
      </c>
      <c r="BI207">
        <v>7.0424372541370719</v>
      </c>
      <c r="BJ207">
        <v>3.6833307233449508</v>
      </c>
      <c r="BK207">
        <v>2.8783138261498058</v>
      </c>
      <c r="BL207">
        <v>4.4720263183790347</v>
      </c>
      <c r="BM207">
        <v>3.3821979694806759</v>
      </c>
      <c r="BN207">
        <v>6.6944589195761228</v>
      </c>
      <c r="BO207">
        <v>13.743679739823159</v>
      </c>
      <c r="BP207">
        <v>5.865719317489674</v>
      </c>
      <c r="BQ207">
        <v>8.4348641049672324</v>
      </c>
    </row>
    <row r="208" spans="1:69" x14ac:dyDescent="0.25">
      <c r="A208" t="s">
        <v>3425</v>
      </c>
      <c r="B208" t="s">
        <v>3426</v>
      </c>
      <c r="C208" t="s">
        <v>3023</v>
      </c>
      <c r="D208" t="s">
        <v>3024</v>
      </c>
      <c r="L208">
        <v>1.452927300228515</v>
      </c>
      <c r="M208">
        <v>3.161936972699332</v>
      </c>
      <c r="N208">
        <v>0.4849395533175706</v>
      </c>
      <c r="O208">
        <v>0.51488580802246275</v>
      </c>
      <c r="P208">
        <v>0.48858007422289113</v>
      </c>
      <c r="Q208">
        <v>3.092193808934999</v>
      </c>
      <c r="R208">
        <v>9.3736740756774033</v>
      </c>
      <c r="S208">
        <v>31.088299365448421</v>
      </c>
      <c r="T208">
        <v>30.226046574906452</v>
      </c>
      <c r="U208">
        <v>7.1658615138317998</v>
      </c>
      <c r="V208">
        <v>13.65514650664281</v>
      </c>
      <c r="W208">
        <v>13.270533797387809</v>
      </c>
      <c r="X208">
        <v>15.673329442372641</v>
      </c>
      <c r="Y208">
        <v>7.249392993252739</v>
      </c>
      <c r="Z208">
        <v>6.4506644718119048</v>
      </c>
      <c r="AA208">
        <v>12.56513653341344</v>
      </c>
      <c r="AB208">
        <v>6.5930021430707848</v>
      </c>
      <c r="AC208">
        <v>5.3695703882737602</v>
      </c>
      <c r="AD208">
        <v>1.7593300565168839</v>
      </c>
      <c r="AE208">
        <v>-1.117066572806761</v>
      </c>
      <c r="AF208">
        <v>4.1330149080912513</v>
      </c>
      <c r="AG208">
        <v>2.9786435565803369</v>
      </c>
      <c r="AH208">
        <v>1.010278248311137</v>
      </c>
      <c r="AI208">
        <v>4.185763726499478</v>
      </c>
      <c r="AJ208">
        <v>19.637165814837331</v>
      </c>
      <c r="AK208">
        <v>9.560411876008164</v>
      </c>
      <c r="AL208">
        <v>12.35438876304478</v>
      </c>
      <c r="AO208">
        <v>7.4113717352664192</v>
      </c>
      <c r="AP208">
        <v>12.015422519568579</v>
      </c>
      <c r="AQ208">
        <v>6.2100670945581022</v>
      </c>
      <c r="AR208">
        <v>-2.4059320974225868</v>
      </c>
      <c r="AS208">
        <v>3.8995298028471241</v>
      </c>
      <c r="AT208">
        <v>3.342855067494094</v>
      </c>
      <c r="AU208">
        <v>1.9925854245399319</v>
      </c>
      <c r="AV208">
        <v>7.4497001400736584</v>
      </c>
      <c r="AW208">
        <v>12.25071028943913</v>
      </c>
      <c r="AX208">
        <v>9.0140891809233938</v>
      </c>
      <c r="AY208">
        <v>8.882826547779235</v>
      </c>
      <c r="AZ208">
        <v>9.0807220587315811</v>
      </c>
      <c r="BA208">
        <v>15.438213870925541</v>
      </c>
      <c r="BB208">
        <v>12.944397840171151</v>
      </c>
      <c r="BC208">
        <v>-0.24612869343693369</v>
      </c>
      <c r="BD208">
        <v>3.0801706924026</v>
      </c>
      <c r="BE208">
        <v>10.27101823188757</v>
      </c>
      <c r="BF208">
        <v>5.9242686798485353</v>
      </c>
      <c r="BG208">
        <v>2.3544905282035842</v>
      </c>
      <c r="BH208">
        <v>2.528502841924209</v>
      </c>
      <c r="BI208">
        <v>7.1743430198200873</v>
      </c>
      <c r="BJ208">
        <v>8.2795367226083201</v>
      </c>
      <c r="BK208">
        <v>-0.31121016039069949</v>
      </c>
      <c r="BL208">
        <v>3.3478765503764789</v>
      </c>
      <c r="BM208">
        <v>9.8503990227420672</v>
      </c>
      <c r="BN208">
        <v>-0.39134674830079141</v>
      </c>
      <c r="BO208">
        <v>17.689209558815332</v>
      </c>
      <c r="BP208">
        <v>19.789546746466989</v>
      </c>
      <c r="BQ208">
        <v>1.770292401986348</v>
      </c>
    </row>
    <row r="209" spans="1:69" x14ac:dyDescent="0.25">
      <c r="A209" t="s">
        <v>3427</v>
      </c>
      <c r="B209" t="s">
        <v>3428</v>
      </c>
      <c r="C209" t="s">
        <v>3023</v>
      </c>
      <c r="D209" t="s">
        <v>3024</v>
      </c>
    </row>
    <row r="210" spans="1:69" x14ac:dyDescent="0.25">
      <c r="A210" t="s">
        <v>3429</v>
      </c>
      <c r="B210" t="s">
        <v>3430</v>
      </c>
      <c r="C210" t="s">
        <v>3023</v>
      </c>
      <c r="D210" t="s">
        <v>3024</v>
      </c>
      <c r="I210">
        <v>2.7999999989998301</v>
      </c>
      <c r="J210">
        <v>0.38910505934228562</v>
      </c>
      <c r="K210">
        <v>1.5503875959304201</v>
      </c>
      <c r="L210">
        <v>2.0992366421952098</v>
      </c>
      <c r="M210">
        <v>1.588785046729384</v>
      </c>
      <c r="N210">
        <v>3.495860165593264</v>
      </c>
      <c r="O210">
        <v>0.177777777777784</v>
      </c>
      <c r="P210">
        <v>4.4749999997499748</v>
      </c>
      <c r="Q210">
        <v>4.331179707834969</v>
      </c>
      <c r="R210">
        <v>16.513761468195352</v>
      </c>
      <c r="S210">
        <v>21.437007873664079</v>
      </c>
      <c r="T210">
        <v>34.57610633814847</v>
      </c>
      <c r="U210">
        <v>31.558660564112522</v>
      </c>
      <c r="V210">
        <v>11.399011169953161</v>
      </c>
      <c r="W210">
        <v>-1.5836018502208591</v>
      </c>
      <c r="X210">
        <v>1.081566902883373</v>
      </c>
      <c r="Y210">
        <v>4.1692665536329043</v>
      </c>
      <c r="Z210">
        <v>2.7989821882948762</v>
      </c>
      <c r="AA210">
        <v>1.021039603960352</v>
      </c>
      <c r="AB210">
        <v>0.1914241960190636</v>
      </c>
      <c r="AC210">
        <v>-1.5590370653420309</v>
      </c>
      <c r="AD210">
        <v>-3.0587687291366161</v>
      </c>
      <c r="AE210">
        <v>-3.2033314647229951</v>
      </c>
      <c r="AF210">
        <v>-1.547116736990185</v>
      </c>
      <c r="AG210">
        <v>0.90756302521052268</v>
      </c>
      <c r="AH210">
        <v>1.032644903397393</v>
      </c>
      <c r="AI210">
        <v>2.0771513353115649</v>
      </c>
      <c r="AJ210">
        <v>4.8611111111113736</v>
      </c>
      <c r="AK210">
        <v>-7.7006006469092059E-2</v>
      </c>
      <c r="AL210">
        <v>1.055795314426953</v>
      </c>
      <c r="AM210">
        <v>0.56432547853314874</v>
      </c>
      <c r="AN210">
        <v>4.8684310305603331</v>
      </c>
      <c r="AO210">
        <v>1.2220605487775611</v>
      </c>
      <c r="AP210">
        <v>5.7150605062648928E-2</v>
      </c>
      <c r="AQ210">
        <v>-0.37126675171198997</v>
      </c>
      <c r="AR210">
        <v>-1.333754896538959</v>
      </c>
      <c r="AS210">
        <v>-1.1249983851764509</v>
      </c>
      <c r="AT210">
        <v>-1.1209480489679129</v>
      </c>
      <c r="AU210">
        <v>0.24718649233968551</v>
      </c>
      <c r="AV210">
        <v>0.61219535817296633</v>
      </c>
      <c r="AW210">
        <v>0.51550789776729955</v>
      </c>
      <c r="AX210">
        <v>0.47923167163095509</v>
      </c>
      <c r="AY210">
        <v>2.209023140696472</v>
      </c>
      <c r="AZ210">
        <v>4.1678235843157854</v>
      </c>
      <c r="BA210">
        <v>9.8702481676026608</v>
      </c>
      <c r="BB210">
        <v>5.0572227614832972</v>
      </c>
      <c r="BC210">
        <v>5.339417330209054</v>
      </c>
      <c r="BD210">
        <v>5.8262163739404</v>
      </c>
      <c r="BE210">
        <v>2.866270299050528</v>
      </c>
      <c r="BF210">
        <v>3.5110420979986601</v>
      </c>
      <c r="BG210">
        <v>2.2418534877906322</v>
      </c>
      <c r="BH210">
        <v>1.2226931855232801</v>
      </c>
      <c r="BI210">
        <v>2.05347076823965</v>
      </c>
      <c r="BJ210">
        <v>-0.83484573502716242</v>
      </c>
      <c r="BK210">
        <v>2.4659430899484311</v>
      </c>
      <c r="BL210">
        <v>-1.192986445333281</v>
      </c>
      <c r="BM210">
        <v>3.372349610123027</v>
      </c>
      <c r="BN210">
        <v>3.0632898894154819</v>
      </c>
      <c r="BO210">
        <v>2.4740737192537172</v>
      </c>
      <c r="BP210">
        <v>2.3270851836270632</v>
      </c>
      <c r="BQ210">
        <v>1.687921123758088</v>
      </c>
    </row>
    <row r="211" spans="1:69" x14ac:dyDescent="0.25">
      <c r="A211" t="s">
        <v>3431</v>
      </c>
      <c r="B211" t="s">
        <v>3432</v>
      </c>
      <c r="C211" t="s">
        <v>3023</v>
      </c>
      <c r="D211" t="s">
        <v>3024</v>
      </c>
      <c r="E211">
        <v>9.224028582943701E-2</v>
      </c>
      <c r="F211">
        <v>8.760511461916316</v>
      </c>
      <c r="G211">
        <v>1.662871365679969</v>
      </c>
      <c r="H211">
        <v>4.6882325364618103</v>
      </c>
      <c r="I211">
        <v>3.9508384335637099</v>
      </c>
      <c r="J211">
        <v>-2.4460293905620101</v>
      </c>
      <c r="K211">
        <v>1.7124631992701711</v>
      </c>
      <c r="L211">
        <v>11.013555887773499</v>
      </c>
      <c r="M211">
        <v>-10.033895358938929</v>
      </c>
      <c r="N211">
        <v>12.606868569676029</v>
      </c>
      <c r="O211">
        <v>4.0277956504717327</v>
      </c>
      <c r="P211">
        <v>1.3036690085935321</v>
      </c>
      <c r="Q211">
        <v>13.554750712862051</v>
      </c>
      <c r="R211">
        <v>15.28908794787729</v>
      </c>
      <c r="S211">
        <v>26.158102301419792</v>
      </c>
      <c r="T211">
        <v>23.963047637073789</v>
      </c>
      <c r="U211">
        <v>1.674884263582169</v>
      </c>
      <c r="V211">
        <v>17.07633079149219</v>
      </c>
      <c r="W211">
        <v>19.23040440135135</v>
      </c>
      <c r="X211">
        <v>31.138455010752971</v>
      </c>
      <c r="Y211">
        <v>25.35236901194191</v>
      </c>
      <c r="Z211">
        <v>24.575724333657551</v>
      </c>
      <c r="AA211">
        <v>25.71287974925945</v>
      </c>
      <c r="AB211">
        <v>30.587774779138329</v>
      </c>
      <c r="AC211">
        <v>34.146341463360002</v>
      </c>
      <c r="AD211">
        <v>45.407503234210047</v>
      </c>
      <c r="AE211">
        <v>24.453490125132049</v>
      </c>
      <c r="AF211">
        <v>20.557237745390982</v>
      </c>
      <c r="AG211">
        <v>64.700563100105114</v>
      </c>
      <c r="AH211">
        <v>66.720321931589837</v>
      </c>
      <c r="AI211">
        <v>65.158097996620313</v>
      </c>
      <c r="AJ211">
        <v>123.57812690293569</v>
      </c>
      <c r="AK211">
        <v>117.62446889639401</v>
      </c>
      <c r="AL211">
        <v>101.3804237638124</v>
      </c>
      <c r="AM211">
        <v>115.3981442927379</v>
      </c>
      <c r="AN211">
        <v>68.375192948542235</v>
      </c>
      <c r="AO211">
        <v>132.8237773741385</v>
      </c>
      <c r="AP211">
        <v>47.168536964719692</v>
      </c>
      <c r="AQ211">
        <v>24.621878546158641</v>
      </c>
      <c r="AR211">
        <v>17.1664454201761</v>
      </c>
      <c r="AS211">
        <v>7.1212589717229058</v>
      </c>
      <c r="AT211">
        <v>1.935295720953327</v>
      </c>
      <c r="AU211">
        <v>22.224724149590511</v>
      </c>
      <c r="AV211">
        <v>6.4894320867333759</v>
      </c>
      <c r="AW211">
        <v>9.6575462860594463</v>
      </c>
      <c r="AX211">
        <v>8.5058507593311692</v>
      </c>
      <c r="AY211">
        <v>7.1991299011470904</v>
      </c>
      <c r="AZ211">
        <v>14.754277078008441</v>
      </c>
      <c r="BA211">
        <v>14.297122448143449</v>
      </c>
      <c r="BB211">
        <v>11.256758706300969</v>
      </c>
      <c r="BC211">
        <v>12.97766638980141</v>
      </c>
      <c r="BD211">
        <v>18.0966171221351</v>
      </c>
      <c r="BE211">
        <v>35.559057414702409</v>
      </c>
      <c r="BF211">
        <v>36.52234491391544</v>
      </c>
      <c r="BG211">
        <v>36.906642786359527</v>
      </c>
      <c r="BH211">
        <v>16.909570605097731</v>
      </c>
      <c r="BI211">
        <v>17.750253831195959</v>
      </c>
      <c r="BJ211">
        <v>32.35162609684366</v>
      </c>
      <c r="BK211">
        <v>63.292507345588781</v>
      </c>
      <c r="BL211">
        <v>50.994051500296457</v>
      </c>
      <c r="BM211">
        <v>163.25778235545761</v>
      </c>
      <c r="BN211">
        <v>359.09304077899873</v>
      </c>
      <c r="BO211">
        <v>138.80846024176</v>
      </c>
    </row>
    <row r="212" spans="1:69" x14ac:dyDescent="0.25">
      <c r="A212" t="s">
        <v>3433</v>
      </c>
      <c r="B212" t="s">
        <v>3434</v>
      </c>
      <c r="C212" t="s">
        <v>3023</v>
      </c>
      <c r="D212" t="s">
        <v>3024</v>
      </c>
      <c r="M212">
        <v>5.8333332832952021E-2</v>
      </c>
      <c r="N212">
        <v>4.0226534522570576</v>
      </c>
      <c r="O212">
        <v>2.810248198570362</v>
      </c>
      <c r="P212">
        <v>3.8782026319753622</v>
      </c>
      <c r="Q212">
        <v>6.1548841741126488</v>
      </c>
      <c r="R212">
        <v>11.28531073468389</v>
      </c>
      <c r="S212">
        <v>16.601091509349391</v>
      </c>
      <c r="T212">
        <v>31.65342331536851</v>
      </c>
      <c r="U212">
        <v>1.0830921871065851</v>
      </c>
      <c r="V212">
        <v>11.340585637103739</v>
      </c>
      <c r="W212">
        <v>3.419651055875176</v>
      </c>
      <c r="X212">
        <v>9.6533598525703663</v>
      </c>
      <c r="Y212">
        <v>8.7290276607232631</v>
      </c>
      <c r="Z212">
        <v>5.9131937203162543</v>
      </c>
      <c r="AA212">
        <v>17.376385216892199</v>
      </c>
      <c r="AB212">
        <v>11.61698456814748</v>
      </c>
      <c r="AC212">
        <v>11.784027479632909</v>
      </c>
      <c r="AD212">
        <v>13.000057615979371</v>
      </c>
      <c r="AE212">
        <v>6.1847785445693431</v>
      </c>
      <c r="AF212">
        <v>-4.1407237863380884</v>
      </c>
      <c r="AG212">
        <v>-1.826682250792953</v>
      </c>
      <c r="AH212">
        <v>0.44730934077131612</v>
      </c>
      <c r="AI212">
        <v>0.3250986301832578</v>
      </c>
      <c r="AJ212">
        <v>-1.753556901993091</v>
      </c>
      <c r="AK212">
        <v>-0.1099429670856651</v>
      </c>
      <c r="AL212">
        <v>-0.58643461512018358</v>
      </c>
      <c r="AM212">
        <v>32.29366685695517</v>
      </c>
      <c r="AN212">
        <v>7.8640078457011029</v>
      </c>
      <c r="AO212">
        <v>2.7543066348240739</v>
      </c>
      <c r="AP212">
        <v>1.7531647809723609</v>
      </c>
      <c r="AQ212">
        <v>1.1567807039134139</v>
      </c>
      <c r="AR212">
        <v>0.82725060827249652</v>
      </c>
      <c r="AS212">
        <v>0.73198198198159659</v>
      </c>
      <c r="AT212">
        <v>2.974500839195664</v>
      </c>
      <c r="AU212">
        <v>2.3373018745429932</v>
      </c>
      <c r="AV212">
        <v>-5.1997024271449539E-2</v>
      </c>
      <c r="AW212">
        <v>0.51478178102301564</v>
      </c>
      <c r="AX212">
        <v>1.7113332585550209</v>
      </c>
      <c r="AY212">
        <v>2.1122858387711689</v>
      </c>
      <c r="AZ212">
        <v>5.8533042846768124</v>
      </c>
      <c r="BA212">
        <v>7.3472023657840602</v>
      </c>
      <c r="BB212">
        <v>-2.248021478553397</v>
      </c>
      <c r="BC212">
        <v>1.2286811967334399</v>
      </c>
      <c r="BD212">
        <v>3.4032282978697102</v>
      </c>
      <c r="BE212">
        <v>1.4182287117785399</v>
      </c>
      <c r="BF212">
        <v>0.71024548669517595</v>
      </c>
      <c r="BG212">
        <v>-1.090255074468949</v>
      </c>
      <c r="BH212">
        <v>0.13521193363516451</v>
      </c>
      <c r="BI212">
        <v>0.83728494255743446</v>
      </c>
      <c r="BJ212">
        <v>1.3181531484778919</v>
      </c>
      <c r="BK212">
        <v>0.46098564246418833</v>
      </c>
      <c r="BL212">
        <v>1.760111511929386</v>
      </c>
      <c r="BM212">
        <v>2.5431468568166178</v>
      </c>
      <c r="BN212">
        <v>2.1803227808814678</v>
      </c>
      <c r="BO212">
        <v>9.6968189908107334</v>
      </c>
      <c r="BP212">
        <v>5.9394779877321486</v>
      </c>
      <c r="BQ212">
        <v>0.80450329879243798</v>
      </c>
    </row>
    <row r="213" spans="1:69" x14ac:dyDescent="0.25">
      <c r="A213" t="s">
        <v>3435</v>
      </c>
      <c r="B213" t="s">
        <v>3436</v>
      </c>
      <c r="C213" t="s">
        <v>3023</v>
      </c>
      <c r="D213" t="s">
        <v>3024</v>
      </c>
      <c r="F213">
        <v>0.40000000000008262</v>
      </c>
      <c r="G213">
        <v>0.41958041958028541</v>
      </c>
      <c r="H213">
        <v>2.2051996285983471</v>
      </c>
      <c r="I213">
        <v>1.726095843742848</v>
      </c>
      <c r="J213">
        <v>0.178611297164573</v>
      </c>
      <c r="K213">
        <v>2.0057945174949632</v>
      </c>
      <c r="L213">
        <v>3.3428009613281708</v>
      </c>
      <c r="M213">
        <v>0.65539112050737791</v>
      </c>
      <c r="N213">
        <v>-0.27305187985697871</v>
      </c>
      <c r="O213">
        <v>0.46335299073270042</v>
      </c>
      <c r="P213">
        <v>1.761006289308189</v>
      </c>
      <c r="Q213">
        <v>2.0807581376187421</v>
      </c>
      <c r="R213">
        <v>19.63673057517644</v>
      </c>
      <c r="S213">
        <v>22.36842105263155</v>
      </c>
      <c r="T213">
        <v>2.5365315687894672</v>
      </c>
      <c r="U213">
        <v>-1.8418929819842269</v>
      </c>
      <c r="V213">
        <v>3.1639501438158328</v>
      </c>
      <c r="W213">
        <v>4.8725438130642758</v>
      </c>
      <c r="X213">
        <v>4.0764653753639806</v>
      </c>
      <c r="Y213">
        <v>8.5269431942585587</v>
      </c>
      <c r="Z213">
        <v>8.18202196816849</v>
      </c>
      <c r="AA213">
        <v>3.9162867799420029</v>
      </c>
      <c r="AB213">
        <v>1.19641076769694</v>
      </c>
      <c r="AC213">
        <v>2.6009852216748519</v>
      </c>
      <c r="AD213">
        <v>0.48012291146534258</v>
      </c>
      <c r="AE213">
        <v>-1.3857033639144061</v>
      </c>
      <c r="AF213">
        <v>0.5233065219497548</v>
      </c>
      <c r="AG213">
        <v>1.523185192326342</v>
      </c>
      <c r="AH213">
        <v>2.3454562719589469</v>
      </c>
      <c r="AI213">
        <v>3.4607533865282432</v>
      </c>
      <c r="AJ213">
        <v>3.4257017307864261</v>
      </c>
      <c r="AK213">
        <v>2.2630711870285101</v>
      </c>
      <c r="AL213">
        <v>2.2892996438864111</v>
      </c>
      <c r="AM213">
        <v>3.1001326259950228</v>
      </c>
      <c r="AN213">
        <v>1.720533847885235</v>
      </c>
      <c r="AO213">
        <v>1.3831805248187621</v>
      </c>
      <c r="AP213">
        <v>2.0035861853896222</v>
      </c>
      <c r="AQ213">
        <v>-0.26750229287615279</v>
      </c>
      <c r="AR213">
        <v>1.6709833737072719E-2</v>
      </c>
      <c r="AS213">
        <v>1.36162392448456</v>
      </c>
      <c r="AT213">
        <v>0.99719795615594331</v>
      </c>
      <c r="AU213">
        <v>-0.3916768665850493</v>
      </c>
      <c r="AV213">
        <v>0.50790530023755054</v>
      </c>
      <c r="AW213">
        <v>1.6627271986307151</v>
      </c>
      <c r="AX213">
        <v>0.42510627656910682</v>
      </c>
      <c r="AY213">
        <v>0.96565751901851149</v>
      </c>
      <c r="AZ213">
        <v>2.109801667145736</v>
      </c>
      <c r="BA213">
        <v>6.6354405839530912</v>
      </c>
      <c r="BB213">
        <v>0.58914201961051593</v>
      </c>
      <c r="BC213">
        <v>2.828845276129583</v>
      </c>
      <c r="BD213">
        <v>5.251156246393732</v>
      </c>
      <c r="BE213">
        <v>4.5808447942309414</v>
      </c>
      <c r="BF213">
        <v>2.3643979374272588</v>
      </c>
      <c r="BG213">
        <v>1.033169558576293</v>
      </c>
      <c r="BH213">
        <v>-0.52197561189576291</v>
      </c>
      <c r="BI213">
        <v>-0.52980976037546446</v>
      </c>
      <c r="BJ213">
        <v>0.57676319117999553</v>
      </c>
      <c r="BK213">
        <v>0.43878421512962279</v>
      </c>
      <c r="BL213">
        <v>0.56782998840544718</v>
      </c>
      <c r="BM213">
        <v>-0.1721118659253825</v>
      </c>
      <c r="BN213">
        <v>2.316103157651459</v>
      </c>
      <c r="BO213">
        <v>6.1309541891973209</v>
      </c>
      <c r="BP213">
        <v>4.8337236282579763</v>
      </c>
      <c r="BQ213">
        <v>2.389511235950172</v>
      </c>
    </row>
    <row r="214" spans="1:69" x14ac:dyDescent="0.25">
      <c r="A214" t="s">
        <v>3437</v>
      </c>
      <c r="B214" t="s">
        <v>3438</v>
      </c>
      <c r="C214" t="s">
        <v>3023</v>
      </c>
      <c r="D214" t="s">
        <v>3024</v>
      </c>
      <c r="Q214">
        <v>6.8775461301553058</v>
      </c>
      <c r="R214">
        <v>3.2286995513523968</v>
      </c>
      <c r="S214">
        <v>18.853171155598861</v>
      </c>
      <c r="T214">
        <v>10.069444444664111</v>
      </c>
      <c r="U214">
        <v>4.25531914893602</v>
      </c>
      <c r="V214">
        <v>8.6167800453515397</v>
      </c>
      <c r="W214">
        <v>6.2630480167015534</v>
      </c>
      <c r="X214">
        <v>8.0550098231826741</v>
      </c>
      <c r="Y214">
        <v>13.09090909090907</v>
      </c>
      <c r="Z214">
        <v>16.398713826366439</v>
      </c>
      <c r="AA214">
        <v>12.98342541436477</v>
      </c>
      <c r="AB214">
        <v>6.2347188264058211</v>
      </c>
      <c r="AC214">
        <v>11.047180667433819</v>
      </c>
      <c r="AD214">
        <v>9.5682210708114273</v>
      </c>
      <c r="AE214">
        <v>13.571878940731279</v>
      </c>
      <c r="AF214">
        <v>10.992366412213469</v>
      </c>
      <c r="AG214">
        <v>16.73752657246537</v>
      </c>
      <c r="AH214">
        <v>14.9322478710301</v>
      </c>
      <c r="AI214">
        <v>8.7375926184818145</v>
      </c>
      <c r="AJ214">
        <v>15.05013077593698</v>
      </c>
      <c r="AK214">
        <v>10.751160367528479</v>
      </c>
      <c r="AL214">
        <v>9.1686623332198511</v>
      </c>
      <c r="AM214">
        <v>13.25603259166383</v>
      </c>
      <c r="AN214">
        <v>9.6292197011622616</v>
      </c>
      <c r="AO214">
        <v>11.774356385663721</v>
      </c>
      <c r="AP214">
        <v>8.0840013548604261</v>
      </c>
      <c r="AQ214">
        <v>12.399503812806939</v>
      </c>
      <c r="AR214">
        <v>8.0203683929684075</v>
      </c>
      <c r="AS214">
        <v>7.8895618698672099</v>
      </c>
      <c r="AT214">
        <v>6.92583732057426</v>
      </c>
      <c r="AU214">
        <v>10.92963418726921</v>
      </c>
      <c r="AV214">
        <v>8.2694634933440607</v>
      </c>
      <c r="AW214">
        <v>6.985842026825674</v>
      </c>
      <c r="AX214">
        <v>7.3306634163329942</v>
      </c>
      <c r="AY214">
        <v>11.2199870214146</v>
      </c>
      <c r="AZ214">
        <v>7.666020134848055</v>
      </c>
      <c r="BA214">
        <v>17.32006519687743</v>
      </c>
      <c r="BB214">
        <v>7.0927171687628574</v>
      </c>
      <c r="BC214">
        <v>1.0514816332103809</v>
      </c>
      <c r="BD214">
        <v>7.3427070601800004</v>
      </c>
      <c r="BE214">
        <v>5.9120060249115518</v>
      </c>
      <c r="BF214">
        <v>5.3913638858755997</v>
      </c>
      <c r="BG214">
        <v>5.1659023792517109</v>
      </c>
      <c r="BH214">
        <v>-0.57446928635949013</v>
      </c>
      <c r="BI214">
        <v>0.51248562626879246</v>
      </c>
      <c r="BJ214">
        <v>0.48868676026108349</v>
      </c>
      <c r="BK214">
        <v>3.4614748497372929</v>
      </c>
      <c r="BL214">
        <v>1.63485544012247</v>
      </c>
      <c r="BM214">
        <v>2.963549920760649</v>
      </c>
      <c r="BN214">
        <v>-0.1154378944128394</v>
      </c>
      <c r="BO214">
        <v>5.5181292857693771</v>
      </c>
      <c r="BP214">
        <v>5.8858589704216406</v>
      </c>
      <c r="BQ214">
        <v>4.3218394838803293</v>
      </c>
    </row>
    <row r="215" spans="1:69" x14ac:dyDescent="0.25">
      <c r="A215" t="s">
        <v>3439</v>
      </c>
      <c r="B215" t="s">
        <v>3440</v>
      </c>
      <c r="C215" t="s">
        <v>3023</v>
      </c>
      <c r="D215" t="s">
        <v>3024</v>
      </c>
      <c r="AZ215">
        <v>11.649974451810589</v>
      </c>
      <c r="BA215">
        <v>8.2111243228960777</v>
      </c>
      <c r="BB215">
        <v>7.4690189854098241</v>
      </c>
      <c r="BC215">
        <v>7.1856627566816256</v>
      </c>
      <c r="BD215">
        <v>6.7913829195262112</v>
      </c>
      <c r="BE215">
        <v>6.5877623939258498</v>
      </c>
      <c r="BF215">
        <v>5.5241287799426599</v>
      </c>
      <c r="BG215">
        <v>4.6393117140966664</v>
      </c>
      <c r="BH215">
        <v>6.6894356249868112</v>
      </c>
      <c r="BI215">
        <v>10.88606094139033</v>
      </c>
      <c r="BJ215">
        <v>18.22150940033864</v>
      </c>
      <c r="BK215">
        <v>16.02954476936986</v>
      </c>
      <c r="BL215">
        <v>14.80499909060209</v>
      </c>
      <c r="BM215">
        <v>13.44687111010521</v>
      </c>
      <c r="BN215">
        <v>11.873958884023409</v>
      </c>
      <c r="BO215">
        <v>27.208288381465302</v>
      </c>
      <c r="BP215">
        <v>47.642873325317872</v>
      </c>
      <c r="BQ215">
        <v>28.63375000141146</v>
      </c>
    </row>
    <row r="216" spans="1:69" x14ac:dyDescent="0.25">
      <c r="A216" t="s">
        <v>3441</v>
      </c>
      <c r="B216" t="s">
        <v>3442</v>
      </c>
      <c r="C216" t="s">
        <v>3023</v>
      </c>
      <c r="D216" t="s">
        <v>3024</v>
      </c>
      <c r="E216">
        <v>-3.8974199003069802E-2</v>
      </c>
      <c r="F216">
        <v>-2.6824703680741928</v>
      </c>
      <c r="G216">
        <v>9.6153846394794296E-2</v>
      </c>
      <c r="H216">
        <v>1.569004162589255</v>
      </c>
      <c r="I216">
        <v>1.7575662040574731</v>
      </c>
      <c r="J216">
        <v>0.45697467291712413</v>
      </c>
      <c r="K216">
        <v>-1.1873554359337379</v>
      </c>
      <c r="L216">
        <v>1.466916354723788</v>
      </c>
      <c r="M216">
        <v>2.5376807134879229</v>
      </c>
      <c r="N216">
        <v>-0.19499025003815351</v>
      </c>
      <c r="O216">
        <v>2.8178539220851402</v>
      </c>
      <c r="P216">
        <v>0.44580866769247451</v>
      </c>
      <c r="Q216">
        <v>1.5352153667887189</v>
      </c>
      <c r="R216">
        <v>6.3919742031183686</v>
      </c>
      <c r="S216">
        <v>16.899036842235351</v>
      </c>
      <c r="T216">
        <v>19.088499654386261</v>
      </c>
      <c r="U216">
        <v>7.0346896319882513</v>
      </c>
      <c r="V216">
        <v>11.820277539148901</v>
      </c>
      <c r="W216">
        <v>13.275123292138341</v>
      </c>
      <c r="X216">
        <v>14.056024736106179</v>
      </c>
      <c r="Y216">
        <v>17.366968256402469</v>
      </c>
      <c r="Z216">
        <v>14.79715162997331</v>
      </c>
      <c r="AA216">
        <v>11.72888686546786</v>
      </c>
      <c r="AB216">
        <v>13.314317730352411</v>
      </c>
      <c r="AC216">
        <v>11.507169505730859</v>
      </c>
      <c r="AD216">
        <v>22.328375055441558</v>
      </c>
      <c r="AE216">
        <v>31.935016147276329</v>
      </c>
      <c r="AF216">
        <v>24.86450033731246</v>
      </c>
      <c r="AG216">
        <v>19.761161785885761</v>
      </c>
      <c r="AH216">
        <v>17.634079938534502</v>
      </c>
      <c r="AI216">
        <v>23.9991651130861</v>
      </c>
      <c r="AJ216">
        <v>14.4026748806266</v>
      </c>
      <c r="AK216">
        <v>11.21448138019865</v>
      </c>
      <c r="AL216">
        <v>18.506688330271409</v>
      </c>
      <c r="AM216">
        <v>10.585806652645131</v>
      </c>
      <c r="AN216">
        <v>10.02965645010182</v>
      </c>
      <c r="AO216">
        <v>9.7889204017996629</v>
      </c>
      <c r="AP216">
        <v>4.4901362785520362</v>
      </c>
      <c r="AQ216">
        <v>2.5470597755415119</v>
      </c>
      <c r="AR216">
        <v>0.51482713019297888</v>
      </c>
      <c r="AS216">
        <v>2.2712875682872302</v>
      </c>
      <c r="AT216">
        <v>3.7508205747201999</v>
      </c>
      <c r="AU216">
        <v>1.865525036100772</v>
      </c>
      <c r="AV216">
        <v>2.120390917333296</v>
      </c>
      <c r="AW216">
        <v>4.4519439239504486</v>
      </c>
      <c r="AX216">
        <v>4.6909487090376878</v>
      </c>
      <c r="AY216">
        <v>4.037123594296121</v>
      </c>
      <c r="AZ216">
        <v>4.5780857237715349</v>
      </c>
      <c r="BA216">
        <v>6.7079229351593872</v>
      </c>
      <c r="BB216">
        <v>1.0559502973120061</v>
      </c>
      <c r="BC216">
        <v>1.1793357687367261</v>
      </c>
      <c r="BD216">
        <v>5.1289237668160998</v>
      </c>
      <c r="BE216">
        <v>1.7297348158138319</v>
      </c>
      <c r="BF216">
        <v>0.75766918452297272</v>
      </c>
      <c r="BG216">
        <v>1.141344675382328</v>
      </c>
      <c r="BH216">
        <v>-0.73138448738795714</v>
      </c>
      <c r="BI216">
        <v>0.60404908699661009</v>
      </c>
      <c r="BJ216">
        <v>1.0123540331557981</v>
      </c>
      <c r="BK216">
        <v>1.090330005818922</v>
      </c>
      <c r="BL216">
        <v>7.5324135002461226E-2</v>
      </c>
      <c r="BM216">
        <v>-0.37159021232409511</v>
      </c>
      <c r="BN216">
        <v>3.466925853130816</v>
      </c>
      <c r="BO216">
        <v>7.1986161560986677</v>
      </c>
      <c r="BP216">
        <v>4.0455469422247656</v>
      </c>
      <c r="BQ216">
        <v>0.85378229256728833</v>
      </c>
    </row>
    <row r="217" spans="1:69" x14ac:dyDescent="0.25">
      <c r="A217" t="s">
        <v>3443</v>
      </c>
      <c r="B217" t="s">
        <v>3444</v>
      </c>
      <c r="C217" t="s">
        <v>3023</v>
      </c>
      <c r="D217" t="s">
        <v>3024</v>
      </c>
      <c r="AW217">
        <v>1.4308386852734289</v>
      </c>
      <c r="AX217">
        <v>1.6854889052834661</v>
      </c>
      <c r="AY217">
        <v>2.0952593561143198</v>
      </c>
      <c r="AZ217">
        <v>2.49894575725803</v>
      </c>
      <c r="BA217">
        <v>4.2932024928770414</v>
      </c>
      <c r="BB217">
        <v>2.1995923704601128</v>
      </c>
      <c r="BC217">
        <v>2.585418155825868</v>
      </c>
      <c r="BD217">
        <v>2.8997958430012312</v>
      </c>
      <c r="BE217">
        <v>2.827332242225804</v>
      </c>
      <c r="BF217">
        <v>1.6043929807808179</v>
      </c>
      <c r="BG217">
        <v>1.1129630337385079</v>
      </c>
      <c r="BH217">
        <v>0.14568607324106631</v>
      </c>
      <c r="BI217">
        <v>0.64407534034655178</v>
      </c>
      <c r="BJ217">
        <v>1.014133131945077</v>
      </c>
      <c r="BK217">
        <v>1.163335222931585</v>
      </c>
      <c r="BL217">
        <v>0.47265196735285231</v>
      </c>
      <c r="BM217">
        <v>-0.1333688983729153</v>
      </c>
      <c r="BN217">
        <v>1.615514115514209</v>
      </c>
      <c r="BO217">
        <v>5.3254532131136507</v>
      </c>
      <c r="BP217">
        <v>5.9319085862940319</v>
      </c>
      <c r="BQ217">
        <v>1.2421650794556931</v>
      </c>
    </row>
    <row r="218" spans="1:69" x14ac:dyDescent="0.25">
      <c r="A218" t="s">
        <v>3445</v>
      </c>
      <c r="B218" t="s">
        <v>3446</v>
      </c>
      <c r="C218" t="s">
        <v>3023</v>
      </c>
      <c r="D218" t="s">
        <v>3024</v>
      </c>
    </row>
    <row r="219" spans="1:69" x14ac:dyDescent="0.25">
      <c r="A219" t="s">
        <v>3447</v>
      </c>
      <c r="B219" t="s">
        <v>3448</v>
      </c>
      <c r="C219" t="s">
        <v>3023</v>
      </c>
      <c r="D219" t="s">
        <v>3024</v>
      </c>
      <c r="AN219">
        <v>82.660515186466327</v>
      </c>
      <c r="AO219">
        <v>95.600926120817107</v>
      </c>
      <c r="AP219">
        <v>23.307866135801049</v>
      </c>
      <c r="AQ219">
        <v>30.159699799284368</v>
      </c>
      <c r="AR219">
        <v>42.4539054642972</v>
      </c>
      <c r="AS219">
        <v>71.12062879465411</v>
      </c>
      <c r="AT219">
        <v>95.005225810000638</v>
      </c>
      <c r="AU219">
        <v>19.490832157968889</v>
      </c>
      <c r="AV219">
        <v>9.8761788972957767</v>
      </c>
      <c r="AW219">
        <v>11.02636271834637</v>
      </c>
      <c r="AX219">
        <v>16.119980648282631</v>
      </c>
      <c r="AY219">
        <v>11.724022998083379</v>
      </c>
      <c r="AZ219">
        <v>6.3917064439141251</v>
      </c>
      <c r="BA219">
        <v>12.41098677517796</v>
      </c>
      <c r="BB219">
        <v>8.1169509223808163</v>
      </c>
      <c r="BC219">
        <v>6.1425536024724838</v>
      </c>
      <c r="BD219">
        <v>11.137397634212901</v>
      </c>
      <c r="BE219">
        <v>7.3303858959664563</v>
      </c>
      <c r="BF219">
        <v>7.6942636289665547</v>
      </c>
      <c r="BG219">
        <v>2.082447938801538</v>
      </c>
      <c r="BH219">
        <v>1.3923582200018689</v>
      </c>
      <c r="BI219">
        <v>1.12231397417769</v>
      </c>
      <c r="BJ219">
        <v>3.1310624859011509</v>
      </c>
      <c r="BK219">
        <v>1.959840762938007</v>
      </c>
      <c r="BL219">
        <v>1.8492298451108631</v>
      </c>
      <c r="BM219">
        <v>1.575532900834149</v>
      </c>
      <c r="BN219">
        <v>4.0851028533510219</v>
      </c>
      <c r="BO219">
        <v>11.98151173447029</v>
      </c>
      <c r="BP219">
        <v>12.371904355251919</v>
      </c>
      <c r="BQ219">
        <v>4.6705297488997006</v>
      </c>
    </row>
    <row r="220" spans="1:69" x14ac:dyDescent="0.25">
      <c r="A220" t="s">
        <v>3449</v>
      </c>
      <c r="B220" t="s">
        <v>3450</v>
      </c>
      <c r="C220" t="s">
        <v>3023</v>
      </c>
      <c r="D220" t="s">
        <v>3024</v>
      </c>
    </row>
    <row r="221" spans="1:69" x14ac:dyDescent="0.25">
      <c r="A221" t="s">
        <v>3451</v>
      </c>
      <c r="B221" t="s">
        <v>3452</v>
      </c>
      <c r="C221" t="s">
        <v>3023</v>
      </c>
      <c r="D221" t="s">
        <v>3024</v>
      </c>
      <c r="BB221">
        <v>5.0062736153404677</v>
      </c>
      <c r="BC221">
        <v>1.1696218030110821</v>
      </c>
      <c r="BD221">
        <v>46.8521757193597</v>
      </c>
      <c r="BE221">
        <v>45.525897837170568</v>
      </c>
      <c r="BF221">
        <v>-5.80909784225664E-2</v>
      </c>
      <c r="BG221">
        <v>1.674299062955201</v>
      </c>
      <c r="BH221">
        <v>52.76633041921427</v>
      </c>
      <c r="BI221">
        <v>379.99958562402611</v>
      </c>
      <c r="BJ221">
        <v>187.85163027944171</v>
      </c>
      <c r="BK221">
        <v>83.501529492199978</v>
      </c>
      <c r="BL221">
        <v>87.241364150003207</v>
      </c>
      <c r="BM221">
        <v>29.67584355385716</v>
      </c>
      <c r="BN221">
        <v>10.516715829435849</v>
      </c>
      <c r="BO221">
        <v>-6.6873209421266786</v>
      </c>
      <c r="BP221">
        <v>2.3828043481375438</v>
      </c>
      <c r="BQ221">
        <v>91.440822076904553</v>
      </c>
    </row>
    <row r="222" spans="1:69" x14ac:dyDescent="0.25">
      <c r="A222" t="s">
        <v>3453</v>
      </c>
      <c r="B222" t="s">
        <v>3454</v>
      </c>
      <c r="C222" t="s">
        <v>3023</v>
      </c>
      <c r="D222" t="s">
        <v>3024</v>
      </c>
    </row>
    <row r="223" spans="1:69" x14ac:dyDescent="0.25">
      <c r="A223" t="s">
        <v>3455</v>
      </c>
      <c r="B223" t="s">
        <v>3456</v>
      </c>
      <c r="C223" t="s">
        <v>3023</v>
      </c>
      <c r="D223" t="s">
        <v>3024</v>
      </c>
    </row>
    <row r="224" spans="1:69" x14ac:dyDescent="0.25">
      <c r="A224" t="s">
        <v>3457</v>
      </c>
      <c r="B224" t="s">
        <v>3458</v>
      </c>
      <c r="C224" t="s">
        <v>3023</v>
      </c>
      <c r="D224" t="s">
        <v>3024</v>
      </c>
      <c r="AP224">
        <v>35.817178244480033</v>
      </c>
      <c r="AQ224">
        <v>50.493135748625363</v>
      </c>
      <c r="AR224">
        <v>12.72517701300846</v>
      </c>
      <c r="AS224">
        <v>12.208945630897659</v>
      </c>
      <c r="AT224">
        <v>9.2220370756088936</v>
      </c>
      <c r="AU224">
        <v>10.128724672229019</v>
      </c>
      <c r="AV224">
        <v>9.7924197493450897</v>
      </c>
      <c r="AW224">
        <v>13.28588608717963</v>
      </c>
      <c r="AX224">
        <v>17.15220493543541</v>
      </c>
      <c r="AY224">
        <v>23.07703734513812</v>
      </c>
      <c r="AZ224">
        <v>18.548513632577929</v>
      </c>
      <c r="BA224">
        <v>31.99010394925735</v>
      </c>
      <c r="BB224">
        <v>16.95747580259453</v>
      </c>
      <c r="BC224">
        <v>13.34005235377999</v>
      </c>
      <c r="BD224">
        <v>14.327166761680131</v>
      </c>
      <c r="BE224">
        <v>10.637935343162759</v>
      </c>
      <c r="BF224">
        <v>8.1058327087547628</v>
      </c>
      <c r="BG224">
        <v>6.998499439664208</v>
      </c>
      <c r="BH224">
        <v>5.2458783502245421</v>
      </c>
      <c r="BI224">
        <v>5.4305196611915578</v>
      </c>
      <c r="BJ224">
        <v>5.6902961992901986</v>
      </c>
      <c r="BK224">
        <v>7.8685962887390906</v>
      </c>
      <c r="BL224">
        <v>7.7202452521324822</v>
      </c>
      <c r="BM224">
        <v>9.8193279154014643</v>
      </c>
      <c r="BN224">
        <v>8.1377703837873181</v>
      </c>
      <c r="BO224">
        <v>18.005635112284079</v>
      </c>
      <c r="BP224">
        <v>21.258913847299951</v>
      </c>
      <c r="BQ224">
        <v>14.351927357100809</v>
      </c>
    </row>
    <row r="225" spans="1:69" x14ac:dyDescent="0.25">
      <c r="A225" t="s">
        <v>3459</v>
      </c>
      <c r="B225" t="s">
        <v>3460</v>
      </c>
      <c r="C225" t="s">
        <v>3023</v>
      </c>
      <c r="D225" t="s">
        <v>3024</v>
      </c>
      <c r="E225">
        <v>2.8571428571428612</v>
      </c>
      <c r="F225">
        <v>1.709401709401754</v>
      </c>
      <c r="G225">
        <v>2.100840336134397</v>
      </c>
      <c r="H225">
        <v>2.0576131687242492</v>
      </c>
      <c r="I225">
        <v>4.2338709677419724</v>
      </c>
      <c r="J225">
        <v>1.934235976789128</v>
      </c>
      <c r="K225">
        <v>4.7438330170778267</v>
      </c>
      <c r="L225">
        <v>10.68840579710155</v>
      </c>
      <c r="M225">
        <v>0.16366612111287629</v>
      </c>
      <c r="N225">
        <v>11.27450980392193</v>
      </c>
      <c r="O225">
        <v>2.5880425879729478</v>
      </c>
      <c r="P225">
        <v>0.21555165264341919</v>
      </c>
      <c r="Q225">
        <v>3.2342866248859541</v>
      </c>
      <c r="R225">
        <v>12.94081333409372</v>
      </c>
      <c r="S225">
        <v>16.876195682109529</v>
      </c>
      <c r="T225">
        <v>8.4473284227465939</v>
      </c>
      <c r="U225">
        <v>10.069538030279499</v>
      </c>
      <c r="V225">
        <v>9.7311327685373694</v>
      </c>
      <c r="W225">
        <v>8.8235294117966649</v>
      </c>
      <c r="X225">
        <v>14.842308165532771</v>
      </c>
      <c r="Y225">
        <v>14.10970644969178</v>
      </c>
      <c r="Z225">
        <v>8.7939698492459737</v>
      </c>
      <c r="AA225">
        <v>7.2764086177986123</v>
      </c>
      <c r="AB225">
        <v>4.4118080745526864</v>
      </c>
      <c r="AC225">
        <v>3.688744527609074</v>
      </c>
      <c r="AD225">
        <v>10.865952984119231</v>
      </c>
      <c r="AE225">
        <v>18.68796068796053</v>
      </c>
      <c r="AF225">
        <v>53.392953256324233</v>
      </c>
      <c r="AG225">
        <v>7.3132878080381731</v>
      </c>
      <c r="AH225">
        <v>0.76964674220599572</v>
      </c>
      <c r="AI225">
        <v>21.739944339752611</v>
      </c>
      <c r="AJ225">
        <v>25.96746250602229</v>
      </c>
      <c r="AK225">
        <v>43.666178385417069</v>
      </c>
      <c r="AL225">
        <v>143.51155848348981</v>
      </c>
      <c r="AM225">
        <v>368.4780687062667</v>
      </c>
      <c r="AN225">
        <v>235.55881507360519</v>
      </c>
      <c r="AO225">
        <v>-0.70188725145281761</v>
      </c>
      <c r="AP225">
        <v>7.145111608839291</v>
      </c>
      <c r="AQ225">
        <v>18.97536919944778</v>
      </c>
      <c r="AR225">
        <v>98.773091411216356</v>
      </c>
      <c r="AS225">
        <v>59.401686545079031</v>
      </c>
      <c r="AT225">
        <v>38.586287887261079</v>
      </c>
      <c r="AU225">
        <v>15.527398918570199</v>
      </c>
      <c r="AV225">
        <v>23.00223217782186</v>
      </c>
      <c r="AW225">
        <v>9.9863251197487752</v>
      </c>
      <c r="AX225">
        <v>9.8980048956146458</v>
      </c>
      <c r="AY225">
        <v>11.28130432739748</v>
      </c>
      <c r="AZ225">
        <v>6.4262793447052422</v>
      </c>
      <c r="BA225">
        <v>14.667142743791191</v>
      </c>
      <c r="BB225">
        <v>-0.13363664671487691</v>
      </c>
      <c r="BC225">
        <v>6.9410822163999599</v>
      </c>
      <c r="BD225">
        <v>17.71177964145582</v>
      </c>
      <c r="BE225">
        <v>5.0068631936727304</v>
      </c>
      <c r="BF225">
        <v>1.923436041083054</v>
      </c>
      <c r="BG225">
        <v>3.383412727494775</v>
      </c>
      <c r="BH225">
        <v>6.8939035916823839</v>
      </c>
      <c r="BI225">
        <v>55.41238797631955</v>
      </c>
      <c r="BJ225">
        <v>21.996943017330359</v>
      </c>
      <c r="BM225">
        <v>34.88978430907801</v>
      </c>
      <c r="BN225">
        <v>59.11966262519767</v>
      </c>
      <c r="BO225">
        <v>52.446027276241011</v>
      </c>
      <c r="BP225">
        <v>51.58731596008608</v>
      </c>
      <c r="BQ225">
        <v>16.229615913027949</v>
      </c>
    </row>
    <row r="226" spans="1:69" x14ac:dyDescent="0.25">
      <c r="A226" t="s">
        <v>3461</v>
      </c>
      <c r="B226" t="s">
        <v>3462</v>
      </c>
      <c r="C226" t="s">
        <v>3023</v>
      </c>
      <c r="D226" t="s">
        <v>3024</v>
      </c>
      <c r="AK226">
        <v>9.8935051977116739</v>
      </c>
      <c r="AL226">
        <v>23.287027664545029</v>
      </c>
      <c r="AM226">
        <v>13.41552034222463</v>
      </c>
      <c r="AN226">
        <v>9.8410957983774807</v>
      </c>
      <c r="AO226">
        <v>5.7758278615594918</v>
      </c>
      <c r="AP226">
        <v>6.1419899959565241</v>
      </c>
      <c r="AQ226">
        <v>6.6656512319582442</v>
      </c>
      <c r="AR226">
        <v>10.570441607522479</v>
      </c>
      <c r="AS226">
        <v>12.0357805974299</v>
      </c>
      <c r="AT226">
        <v>7.3296201911552989</v>
      </c>
      <c r="AU226">
        <v>3.127142229846084</v>
      </c>
      <c r="AV226">
        <v>8.5541430540664507</v>
      </c>
      <c r="AW226">
        <v>7.5485008818342321</v>
      </c>
      <c r="AX226">
        <v>2.7090849458838431</v>
      </c>
      <c r="AY226">
        <v>4.483331204496106</v>
      </c>
      <c r="AZ226">
        <v>2.7567237163813969</v>
      </c>
      <c r="BA226">
        <v>4.598179763250279</v>
      </c>
      <c r="BB226">
        <v>1.6151046405823759</v>
      </c>
      <c r="BC226">
        <v>0.95701813297514293</v>
      </c>
      <c r="BD226">
        <v>3.9192859914629001</v>
      </c>
      <c r="BE226">
        <v>3.6061026352288992</v>
      </c>
      <c r="BF226">
        <v>1.400473689630253</v>
      </c>
      <c r="BG226">
        <v>-7.6165329541987056E-2</v>
      </c>
      <c r="BH226">
        <v>-0.32521977742767327</v>
      </c>
      <c r="BI226">
        <v>-0.52001019627826595</v>
      </c>
      <c r="BJ226">
        <v>1.3119458822322809</v>
      </c>
      <c r="BK226">
        <v>2.514037128838118</v>
      </c>
      <c r="BL226">
        <v>2.6645613342543131</v>
      </c>
      <c r="BM226">
        <v>1.936941266942229</v>
      </c>
      <c r="BN226">
        <v>3.1496062992126799</v>
      </c>
      <c r="BO226">
        <v>12.77414636376106</v>
      </c>
      <c r="BP226">
        <v>10.53194766452113</v>
      </c>
      <c r="BQ226">
        <v>2.7576090942427181</v>
      </c>
    </row>
    <row r="227" spans="1:69" x14ac:dyDescent="0.25">
      <c r="A227" t="s">
        <v>3463</v>
      </c>
      <c r="B227" t="s">
        <v>3464</v>
      </c>
      <c r="C227" t="s">
        <v>3023</v>
      </c>
      <c r="D227" t="s">
        <v>3024</v>
      </c>
      <c r="Z227">
        <v>42.622952731824391</v>
      </c>
      <c r="AA227">
        <v>30.112543595071472</v>
      </c>
      <c r="AB227">
        <v>40.21349184369349</v>
      </c>
      <c r="AC227">
        <v>53.6719669102484</v>
      </c>
      <c r="AD227">
        <v>79.406381148187378</v>
      </c>
      <c r="AE227">
        <v>95.886505210164387</v>
      </c>
      <c r="AF227">
        <v>132.07272101483079</v>
      </c>
      <c r="AG227">
        <v>198.7537128620227</v>
      </c>
      <c r="AH227">
        <v>1281.443494048757</v>
      </c>
      <c r="AI227">
        <v>552.08352891432492</v>
      </c>
      <c r="AJ227">
        <v>114.8329355897467</v>
      </c>
      <c r="AK227">
        <v>209.93373118682169</v>
      </c>
      <c r="AL227">
        <v>31.762130630593209</v>
      </c>
      <c r="AM227">
        <v>20.991818047149781</v>
      </c>
      <c r="AN227">
        <v>13.463729617866949</v>
      </c>
      <c r="AO227">
        <v>9.8644506154685114</v>
      </c>
      <c r="AP227">
        <v>8.3596799070429988</v>
      </c>
      <c r="AQ227">
        <v>7.8911668285668384</v>
      </c>
      <c r="AR227">
        <v>6.1555875445155861</v>
      </c>
      <c r="AS227">
        <v>8.9117441865876899</v>
      </c>
      <c r="AT227">
        <v>8.3796658749220398</v>
      </c>
      <c r="AU227">
        <v>7.4807777070375376</v>
      </c>
      <c r="AV227">
        <v>5.5441642175290111</v>
      </c>
      <c r="AW227">
        <v>3.5929759424950878</v>
      </c>
      <c r="AX227">
        <v>2.4515013231647491</v>
      </c>
      <c r="AY227">
        <v>2.457924441958653</v>
      </c>
      <c r="AZ227">
        <v>3.6574956328409911</v>
      </c>
      <c r="BA227">
        <v>5.647423805739348</v>
      </c>
      <c r="BB227">
        <v>0.83926224679388728</v>
      </c>
      <c r="BC227">
        <v>1.8011702213713401</v>
      </c>
      <c r="BD227">
        <v>1.8028517194191001</v>
      </c>
      <c r="BE227">
        <v>2.5974138603900281</v>
      </c>
      <c r="BF227">
        <v>1.7692008588190651</v>
      </c>
      <c r="BG227">
        <v>0.1993438265707497</v>
      </c>
      <c r="BH227">
        <v>-0.52555228582087676</v>
      </c>
      <c r="BI227">
        <v>-5.4999541670473967E-2</v>
      </c>
      <c r="BJ227">
        <v>1.42910743319306</v>
      </c>
      <c r="BK227">
        <v>1.7386086198818</v>
      </c>
      <c r="BL227">
        <v>1.630522607543444</v>
      </c>
      <c r="BM227">
        <v>-5.4856815760609981E-2</v>
      </c>
      <c r="BN227">
        <v>1.917065060892595</v>
      </c>
      <c r="BO227">
        <v>8.8336988674945172</v>
      </c>
      <c r="BP227">
        <v>7.4468771738583763</v>
      </c>
      <c r="BQ227">
        <v>1.9656265643251249</v>
      </c>
    </row>
    <row r="228" spans="1:69" x14ac:dyDescent="0.25">
      <c r="A228" t="s">
        <v>3465</v>
      </c>
      <c r="B228" t="s">
        <v>3466</v>
      </c>
      <c r="C228" t="s">
        <v>3023</v>
      </c>
      <c r="D228" t="s">
        <v>3024</v>
      </c>
      <c r="E228">
        <v>4.1417791509021518</v>
      </c>
      <c r="F228">
        <v>2.15797310981961</v>
      </c>
      <c r="G228">
        <v>4.7661972190582631</v>
      </c>
      <c r="H228">
        <v>2.8717403448576668</v>
      </c>
      <c r="I228">
        <v>3.3876623108834929</v>
      </c>
      <c r="J228">
        <v>5.0127712964383786</v>
      </c>
      <c r="K228">
        <v>6.4048082534842301</v>
      </c>
      <c r="L228">
        <v>4.2893192299331879</v>
      </c>
      <c r="M228">
        <v>1.9431258247322769</v>
      </c>
      <c r="N228">
        <v>2.6919945855570848</v>
      </c>
      <c r="O228">
        <v>7.0163588510076291</v>
      </c>
      <c r="P228">
        <v>7.3955411383764282</v>
      </c>
      <c r="Q228">
        <v>6.0073896986249427</v>
      </c>
      <c r="R228">
        <v>6.7179973981935381</v>
      </c>
      <c r="S228">
        <v>9.9117253011323143</v>
      </c>
      <c r="T228">
        <v>9.7798739882257628</v>
      </c>
      <c r="U228">
        <v>10.24922465297843</v>
      </c>
      <c r="V228">
        <v>11.441805109107641</v>
      </c>
      <c r="W228">
        <v>9.9952654171773645</v>
      </c>
      <c r="X228">
        <v>7.2097861704780417</v>
      </c>
      <c r="Y228">
        <v>13.70632236490046</v>
      </c>
      <c r="Z228">
        <v>12.103938530259899</v>
      </c>
      <c r="AA228">
        <v>8.5891850904711937</v>
      </c>
      <c r="AB228">
        <v>8.8730215236321044</v>
      </c>
      <c r="AC228">
        <v>8.0442423899442854</v>
      </c>
      <c r="AD228">
        <v>7.3725745812624304</v>
      </c>
      <c r="AE228">
        <v>4.2359101108979056</v>
      </c>
      <c r="AF228">
        <v>4.1885715177136769</v>
      </c>
      <c r="AG228">
        <v>5.8248986843944026</v>
      </c>
      <c r="AH228">
        <v>6.443275874266031</v>
      </c>
      <c r="AI228">
        <v>10.36655338794934</v>
      </c>
      <c r="AJ228">
        <v>9.4446273294418912</v>
      </c>
      <c r="AK228">
        <v>2.3743672511188092</v>
      </c>
      <c r="AL228">
        <v>4.7281730462604878</v>
      </c>
      <c r="AM228">
        <v>2.158138007246289</v>
      </c>
      <c r="AN228">
        <v>2.4551485781839961</v>
      </c>
      <c r="AO228">
        <v>0.53313197876623752</v>
      </c>
      <c r="AP228">
        <v>0.65841025624352634</v>
      </c>
      <c r="AQ228">
        <v>-0.26713266835497129</v>
      </c>
      <c r="AR228">
        <v>0.46217575633913782</v>
      </c>
      <c r="AS228">
        <v>0.89914373404171455</v>
      </c>
      <c r="AT228">
        <v>2.4059583414543639</v>
      </c>
      <c r="AU228">
        <v>2.158482135892664</v>
      </c>
      <c r="AV228">
        <v>1.9256553489238311</v>
      </c>
      <c r="AW228">
        <v>0.37365982872182418</v>
      </c>
      <c r="AX228">
        <v>0.45317085257613843</v>
      </c>
      <c r="AY228">
        <v>1.36021468627693</v>
      </c>
      <c r="AZ228">
        <v>2.2121688343673269</v>
      </c>
      <c r="BA228">
        <v>3.437049106028748</v>
      </c>
      <c r="BB228">
        <v>-0.49446054437805098</v>
      </c>
      <c r="BC228">
        <v>1.157988027156257</v>
      </c>
      <c r="BD228">
        <v>2.9611507382214</v>
      </c>
      <c r="BE228">
        <v>0.88837750692373496</v>
      </c>
      <c r="BF228">
        <v>-4.4292970148682047E-2</v>
      </c>
      <c r="BG228">
        <v>-0.17963849411463501</v>
      </c>
      <c r="BH228">
        <v>-4.6784744983281168E-2</v>
      </c>
      <c r="BI228">
        <v>0.9842692445779917</v>
      </c>
      <c r="BJ228">
        <v>1.7944990466559889</v>
      </c>
      <c r="BK228">
        <v>1.9535353012702781</v>
      </c>
      <c r="BL228">
        <v>1.784150974038347</v>
      </c>
      <c r="BM228">
        <v>0.49736731885357172</v>
      </c>
      <c r="BN228">
        <v>2.1631973644714342</v>
      </c>
      <c r="BO228">
        <v>8.3692909886918905</v>
      </c>
      <c r="BP228">
        <v>8.5486248974891001</v>
      </c>
      <c r="BQ228">
        <v>2.8358165822403398</v>
      </c>
    </row>
    <row r="229" spans="1:69" x14ac:dyDescent="0.25">
      <c r="A229" t="s">
        <v>3467</v>
      </c>
      <c r="B229" t="s">
        <v>3468</v>
      </c>
      <c r="C229" t="s">
        <v>3023</v>
      </c>
      <c r="D229" t="s">
        <v>3024</v>
      </c>
      <c r="K229">
        <v>3.1775210084201029</v>
      </c>
      <c r="L229">
        <v>1.824043437949715</v>
      </c>
      <c r="M229">
        <v>3.4494250952423831</v>
      </c>
      <c r="N229">
        <v>3.2055412377031409</v>
      </c>
      <c r="O229">
        <v>1.84953956571386</v>
      </c>
      <c r="P229">
        <v>2.32166117555597</v>
      </c>
      <c r="Q229">
        <v>2.3663321848999281</v>
      </c>
      <c r="R229">
        <v>11.54352596964347</v>
      </c>
      <c r="S229">
        <v>19.287775445696131</v>
      </c>
      <c r="T229">
        <v>12.04574193216782</v>
      </c>
      <c r="U229">
        <v>6.5309126594924338</v>
      </c>
      <c r="V229">
        <v>20.80512182761996</v>
      </c>
      <c r="W229">
        <v>8.517614762916228</v>
      </c>
      <c r="X229">
        <v>16.453516970076219</v>
      </c>
      <c r="Y229">
        <v>18.68397540349558</v>
      </c>
      <c r="Z229">
        <v>20.055796652253939</v>
      </c>
      <c r="AA229">
        <v>10.80742134184117</v>
      </c>
      <c r="AB229">
        <v>11.56752438340691</v>
      </c>
      <c r="AC229">
        <v>12.939726641272649</v>
      </c>
      <c r="AD229">
        <v>20.462633451957618</v>
      </c>
      <c r="AE229">
        <v>13.737075332348629</v>
      </c>
      <c r="AF229">
        <v>13.37662337662282</v>
      </c>
      <c r="AG229">
        <v>20.394562278111479</v>
      </c>
      <c r="AH229">
        <v>7.546164772727713</v>
      </c>
      <c r="AI229">
        <v>13.09228991249806</v>
      </c>
      <c r="AJ229">
        <v>8.9343065693428763</v>
      </c>
      <c r="AK229">
        <v>7.5582953631733742</v>
      </c>
      <c r="AL229">
        <v>12.023423872414821</v>
      </c>
      <c r="AM229">
        <v>13.769324880435891</v>
      </c>
      <c r="AN229">
        <v>12.288591260142571</v>
      </c>
      <c r="AO229">
        <v>6.4252133031521836</v>
      </c>
      <c r="AP229">
        <v>7.1253272251305697</v>
      </c>
      <c r="AQ229">
        <v>8.1099656357386323</v>
      </c>
      <c r="AR229">
        <v>6.0888606343149263</v>
      </c>
      <c r="AS229">
        <v>12.20853585458438</v>
      </c>
      <c r="AT229">
        <v>5.9421098228164766</v>
      </c>
      <c r="AU229">
        <v>12.019715469923151</v>
      </c>
      <c r="AV229">
        <v>7.289999999999992</v>
      </c>
      <c r="AW229">
        <v>3.4453350731661359</v>
      </c>
      <c r="AX229">
        <v>4.7740040455371187</v>
      </c>
      <c r="AY229">
        <v>5.3046394633872751</v>
      </c>
      <c r="AZ229">
        <v>8.0760882786158863</v>
      </c>
      <c r="BA229">
        <v>12.657460186391519</v>
      </c>
      <c r="BB229">
        <v>7.4482342344575363</v>
      </c>
      <c r="BC229">
        <v>4.5092369177436904</v>
      </c>
      <c r="BD229">
        <v>6.1074271459025109</v>
      </c>
      <c r="BE229">
        <v>8.9396468278821164</v>
      </c>
      <c r="BF229">
        <v>5.6213062346894773</v>
      </c>
      <c r="BG229">
        <v>5.6813488577644744</v>
      </c>
      <c r="BH229">
        <v>4.951244937049192</v>
      </c>
      <c r="BI229">
        <v>7.8472745908567987</v>
      </c>
      <c r="BJ229">
        <v>6.2213752893311778</v>
      </c>
      <c r="BK229">
        <v>4.8150616746151256</v>
      </c>
      <c r="BL229">
        <v>2.598016203110773</v>
      </c>
    </row>
    <row r="230" spans="1:69" x14ac:dyDescent="0.25">
      <c r="A230" t="s">
        <v>3469</v>
      </c>
      <c r="B230" t="s">
        <v>3470</v>
      </c>
      <c r="C230" t="s">
        <v>3023</v>
      </c>
      <c r="D230" t="s">
        <v>3024</v>
      </c>
      <c r="AY230">
        <v>0.30060120240480498</v>
      </c>
      <c r="AZ230">
        <v>4.4324575424575423</v>
      </c>
      <c r="BA230">
        <v>-0.41792902008075811</v>
      </c>
      <c r="BB230">
        <v>5.9576368876080101</v>
      </c>
      <c r="BC230">
        <v>1.338576216728816</v>
      </c>
      <c r="BD230">
        <v>4.5847543565040096</v>
      </c>
      <c r="BE230">
        <v>4.0151842108157636</v>
      </c>
      <c r="BF230">
        <v>2.5286478853837031</v>
      </c>
      <c r="BG230">
        <v>1.8867546627526559</v>
      </c>
      <c r="BH230">
        <v>0.33002716514106561</v>
      </c>
      <c r="BI230">
        <v>0.11168265573757941</v>
      </c>
      <c r="BJ230">
        <v>2.1920101096298499</v>
      </c>
    </row>
    <row r="231" spans="1:69" x14ac:dyDescent="0.25">
      <c r="A231" t="s">
        <v>3471</v>
      </c>
      <c r="B231" t="s">
        <v>3472</v>
      </c>
      <c r="C231" t="s">
        <v>3023</v>
      </c>
      <c r="D231" t="s">
        <v>3024</v>
      </c>
      <c r="P231">
        <v>14.599292869816409</v>
      </c>
      <c r="Q231">
        <v>20.940994987157019</v>
      </c>
      <c r="R231">
        <v>18.239795918821759</v>
      </c>
      <c r="S231">
        <v>24.424667385920468</v>
      </c>
      <c r="T231">
        <v>18.611372010313051</v>
      </c>
      <c r="U231">
        <v>14.868733630047769</v>
      </c>
      <c r="V231">
        <v>14.959168522751121</v>
      </c>
      <c r="W231">
        <v>11.783251231892301</v>
      </c>
      <c r="X231">
        <v>12.480169222314</v>
      </c>
      <c r="Y231">
        <v>13.57154051080879</v>
      </c>
      <c r="Z231">
        <v>10.576790396091839</v>
      </c>
      <c r="AA231">
        <v>-0.91264667535852706</v>
      </c>
      <c r="AB231">
        <v>6.052631578947377</v>
      </c>
      <c r="AC231">
        <v>4.0942928039701219</v>
      </c>
      <c r="AD231">
        <v>0.83432657926101406</v>
      </c>
      <c r="AE231">
        <v>0.23640661938541099</v>
      </c>
      <c r="AF231">
        <v>2.594339622641348</v>
      </c>
      <c r="AG231">
        <v>1.8390804597701049</v>
      </c>
      <c r="AH231">
        <v>1.5801354401805681</v>
      </c>
      <c r="AI231">
        <v>3.8888888888891189</v>
      </c>
      <c r="AJ231">
        <v>1.9867549668873421</v>
      </c>
      <c r="AK231">
        <v>3.2467532467532298</v>
      </c>
      <c r="AL231">
        <v>1.3836477987421529</v>
      </c>
      <c r="AM231">
        <v>1.7369727047146351</v>
      </c>
      <c r="AN231">
        <v>-0.24390243902445941</v>
      </c>
      <c r="AO231">
        <v>-1.1002444987774269</v>
      </c>
      <c r="AP231">
        <v>0.61804697156989064</v>
      </c>
      <c r="AQ231">
        <v>2.5798525798524232</v>
      </c>
      <c r="AR231">
        <v>6.3473053892215621</v>
      </c>
      <c r="AS231">
        <v>6.2687687687687843</v>
      </c>
      <c r="AT231">
        <v>5.9696220416815589</v>
      </c>
      <c r="AU231">
        <v>0.17499999999992419</v>
      </c>
      <c r="AV231">
        <v>3.302553864070886</v>
      </c>
      <c r="AW231">
        <v>3.8573039136739888</v>
      </c>
      <c r="AX231">
        <v>0.90718771807394372</v>
      </c>
      <c r="AY231">
        <v>-0.35346549869375632</v>
      </c>
      <c r="AZ231">
        <v>5.3206002728514212</v>
      </c>
      <c r="BA231">
        <v>36.964758287528873</v>
      </c>
      <c r="BB231">
        <v>31.754440774417841</v>
      </c>
      <c r="BC231">
        <v>-2.4046387510822749</v>
      </c>
      <c r="BD231">
        <v>2.559267722309531</v>
      </c>
      <c r="BE231">
        <v>7.1103706232640267</v>
      </c>
      <c r="BF231">
        <v>4.3389384832909874</v>
      </c>
      <c r="BG231">
        <v>1.38583454581263</v>
      </c>
      <c r="BH231">
        <v>4.041944107256171</v>
      </c>
      <c r="BI231">
        <v>-1.015481916976257</v>
      </c>
      <c r="BJ231">
        <v>2.8567957556843711</v>
      </c>
      <c r="BK231">
        <v>3.7029183911156829</v>
      </c>
      <c r="BL231">
        <v>1.807094008099823</v>
      </c>
      <c r="BM231">
        <v>1.2026646398712291</v>
      </c>
      <c r="BN231">
        <v>9.7690993697354163</v>
      </c>
      <c r="BO231">
        <v>2.6260363285129</v>
      </c>
      <c r="BP231">
        <v>-1.0353008843195211</v>
      </c>
      <c r="BQ231">
        <v>0.31172605091966848</v>
      </c>
    </row>
    <row r="232" spans="1:69" x14ac:dyDescent="0.25">
      <c r="A232" t="s">
        <v>3473</v>
      </c>
      <c r="B232" t="s">
        <v>3474</v>
      </c>
      <c r="C232" t="s">
        <v>3023</v>
      </c>
      <c r="D232" t="s">
        <v>3024</v>
      </c>
      <c r="E232">
        <v>5.1189095127609869</v>
      </c>
      <c r="F232">
        <v>1.958890881500754</v>
      </c>
      <c r="G232">
        <v>-3.8461538461533009</v>
      </c>
      <c r="H232">
        <v>1.916666666666589</v>
      </c>
      <c r="I232">
        <v>5.396565821750209</v>
      </c>
      <c r="J232">
        <v>-3.878975950349449</v>
      </c>
      <c r="K232">
        <v>3.7933817594837751</v>
      </c>
      <c r="L232">
        <v>6.4541213063752556</v>
      </c>
      <c r="M232">
        <v>2.848794740686619</v>
      </c>
      <c r="N232">
        <v>-1.9886363636359861</v>
      </c>
      <c r="O232">
        <v>4.6376811594198282</v>
      </c>
      <c r="P232">
        <v>5.6094182825484991</v>
      </c>
      <c r="Q232">
        <v>2.098360655738333</v>
      </c>
      <c r="R232">
        <v>20.35966602440595</v>
      </c>
      <c r="S232">
        <v>15.528281750266849</v>
      </c>
      <c r="T232">
        <v>11.4649681528663</v>
      </c>
      <c r="U232">
        <v>11.428571428571519</v>
      </c>
      <c r="V232">
        <v>11.96581196581158</v>
      </c>
      <c r="W232">
        <v>4.8091603053437089</v>
      </c>
      <c r="X232">
        <v>4.5520757465403783</v>
      </c>
      <c r="Y232">
        <v>19.296412399860841</v>
      </c>
      <c r="Z232">
        <v>18.39416058394167</v>
      </c>
      <c r="AA232">
        <v>14.30332922318113</v>
      </c>
      <c r="AB232">
        <v>6.1272923408846003</v>
      </c>
      <c r="AC232">
        <v>9.2295181947549594</v>
      </c>
      <c r="AD232">
        <v>17.2529313232832</v>
      </c>
      <c r="AE232">
        <v>36.063492063491587</v>
      </c>
      <c r="AF232">
        <v>59.484367708819761</v>
      </c>
      <c r="AG232">
        <v>34.562211981566982</v>
      </c>
      <c r="AH232">
        <v>11.39921722113489</v>
      </c>
      <c r="AI232">
        <v>19.39686722295432</v>
      </c>
      <c r="AJ232">
        <v>9.0000000000000338</v>
      </c>
      <c r="AK232">
        <v>11.00917431192646</v>
      </c>
      <c r="AL232">
        <v>13.223140495867939</v>
      </c>
      <c r="AM232">
        <v>15.328467153284571</v>
      </c>
      <c r="AN232">
        <v>7.9799578059068601</v>
      </c>
      <c r="AO232">
        <v>8.2498900991550972</v>
      </c>
      <c r="AP232">
        <v>1.886111361790862</v>
      </c>
      <c r="AQ232">
        <v>-0.79716563330391632</v>
      </c>
      <c r="AR232">
        <v>-3.70370370370365</v>
      </c>
      <c r="AS232">
        <v>-3.8461538461537881</v>
      </c>
      <c r="AT232">
        <v>2.9999999999999529</v>
      </c>
      <c r="AU232">
        <v>-0.1305052824174015</v>
      </c>
      <c r="AV232">
        <v>5.7968294490584116</v>
      </c>
      <c r="AW232">
        <v>4.4331413671983881</v>
      </c>
      <c r="AX232">
        <v>7.2403493934853493</v>
      </c>
      <c r="AY232">
        <v>10.02411053775713</v>
      </c>
      <c r="AZ232">
        <v>3.907709504436073</v>
      </c>
      <c r="BA232">
        <v>15.745325221970861</v>
      </c>
      <c r="BB232">
        <v>2.9208971180536669</v>
      </c>
      <c r="BC232">
        <v>4.3974138315007023</v>
      </c>
      <c r="BD232">
        <v>4.7531638888563004</v>
      </c>
      <c r="BE232">
        <v>36.70229533641389</v>
      </c>
      <c r="BF232">
        <v>40.031837829072323</v>
      </c>
      <c r="BG232">
        <v>10.92711418042969</v>
      </c>
      <c r="BH232">
        <v>38.461142959973287</v>
      </c>
      <c r="BI232">
        <v>47.705161529892337</v>
      </c>
      <c r="BJ232">
        <v>18.075269628177111</v>
      </c>
      <c r="BK232">
        <v>0.94098384390676881</v>
      </c>
      <c r="BL232">
        <v>13.417565322857071</v>
      </c>
    </row>
    <row r="233" spans="1:69" x14ac:dyDescent="0.25">
      <c r="A233" t="s">
        <v>3475</v>
      </c>
      <c r="B233" t="s">
        <v>3476</v>
      </c>
      <c r="C233" t="s">
        <v>3023</v>
      </c>
      <c r="D233" t="s">
        <v>3024</v>
      </c>
    </row>
    <row r="234" spans="1:69" x14ac:dyDescent="0.25">
      <c r="A234" t="s">
        <v>3477</v>
      </c>
      <c r="B234" t="s">
        <v>3478</v>
      </c>
      <c r="C234" t="s">
        <v>3023</v>
      </c>
      <c r="D234" t="s">
        <v>3024</v>
      </c>
      <c r="AC234">
        <v>20.25089605734793</v>
      </c>
      <c r="AD234">
        <v>5.1539990064581582</v>
      </c>
      <c r="AE234">
        <v>-13.056572575882891</v>
      </c>
      <c r="AF234">
        <v>-5.9748427672955398</v>
      </c>
      <c r="AG234">
        <v>15.47751765143034</v>
      </c>
      <c r="AH234">
        <v>-3.6891346044147091</v>
      </c>
      <c r="AI234">
        <v>-0.73828226531091845</v>
      </c>
      <c r="AJ234">
        <v>3.1938747302949571</v>
      </c>
      <c r="AK234">
        <v>-3.1130306721494949</v>
      </c>
      <c r="AL234">
        <v>-8.4279334865179987</v>
      </c>
      <c r="AM234">
        <v>41.72489723644135</v>
      </c>
      <c r="AN234">
        <v>9.2303259976865579</v>
      </c>
      <c r="AO234">
        <v>11.33087890572822</v>
      </c>
      <c r="AP234">
        <v>5.5722571112532977</v>
      </c>
      <c r="AQ234">
        <v>4.2588511022514028</v>
      </c>
      <c r="AR234">
        <v>-8.0250596272745423</v>
      </c>
      <c r="AS234">
        <v>3.8226008808630589</v>
      </c>
      <c r="AT234">
        <v>12.43128652799407</v>
      </c>
      <c r="AU234">
        <v>5.1918189519544642</v>
      </c>
      <c r="AV234">
        <v>-1.7525694124865481</v>
      </c>
      <c r="AW234">
        <v>-5.3554002888481582</v>
      </c>
      <c r="AX234">
        <v>7.8903656746299307</v>
      </c>
      <c r="AY234">
        <v>8.0362889795133103</v>
      </c>
      <c r="AZ234">
        <v>-8.9747396200927039</v>
      </c>
      <c r="BA234">
        <v>10.29697582212537</v>
      </c>
      <c r="BB234">
        <v>9.9524229074886428</v>
      </c>
      <c r="BC234">
        <v>-2.0778657464186581</v>
      </c>
      <c r="BD234">
        <v>2.0292405367825999</v>
      </c>
      <c r="BE234">
        <v>7.5166236466383287</v>
      </c>
      <c r="BF234">
        <v>0.22267156462455071</v>
      </c>
      <c r="BG234">
        <v>1.681973139256705</v>
      </c>
      <c r="BH234">
        <v>4.3771266506565407</v>
      </c>
      <c r="BI234">
        <v>-0.79244052523610198</v>
      </c>
      <c r="BJ234">
        <v>-1.5370996298084041</v>
      </c>
      <c r="BK234">
        <v>4.2746219861054522</v>
      </c>
      <c r="BL234">
        <v>-0.971939175419401</v>
      </c>
      <c r="BM234">
        <v>4.4641443723286081</v>
      </c>
      <c r="BN234">
        <v>-0.77284437035913955</v>
      </c>
      <c r="BO234">
        <v>5.7880268784361641</v>
      </c>
      <c r="BP234">
        <v>10.83635683998429</v>
      </c>
      <c r="BQ234">
        <v>8.8995073226375432</v>
      </c>
    </row>
    <row r="235" spans="1:69" x14ac:dyDescent="0.25">
      <c r="A235" t="s">
        <v>3479</v>
      </c>
      <c r="B235" t="s">
        <v>3480</v>
      </c>
      <c r="C235" t="s">
        <v>3023</v>
      </c>
      <c r="D235" t="s">
        <v>3024</v>
      </c>
    </row>
    <row r="236" spans="1:69" x14ac:dyDescent="0.25">
      <c r="A236" t="s">
        <v>3481</v>
      </c>
      <c r="B236" t="s">
        <v>3482</v>
      </c>
      <c r="C236" t="s">
        <v>3023</v>
      </c>
      <c r="D236" t="s">
        <v>3024</v>
      </c>
    </row>
    <row r="237" spans="1:69" x14ac:dyDescent="0.25">
      <c r="A237" t="s">
        <v>3483</v>
      </c>
      <c r="B237" t="s">
        <v>3484</v>
      </c>
      <c r="C237" t="s">
        <v>3023</v>
      </c>
      <c r="D237" t="s">
        <v>3024</v>
      </c>
      <c r="L237">
        <v>-2.3188405806762442</v>
      </c>
      <c r="M237">
        <v>0.2967359060365361</v>
      </c>
      <c r="N237">
        <v>6.0157790927021377</v>
      </c>
      <c r="O237">
        <v>4.4806201546509463</v>
      </c>
      <c r="P237">
        <v>6.4920611363942999</v>
      </c>
      <c r="Q237">
        <v>7.7266076782347977</v>
      </c>
      <c r="R237">
        <v>3.6153149657316721</v>
      </c>
      <c r="S237">
        <v>12.831931690620101</v>
      </c>
      <c r="T237">
        <v>18.01219949766762</v>
      </c>
      <c r="U237">
        <v>11.640730810691521</v>
      </c>
      <c r="V237">
        <v>22.45701340661774</v>
      </c>
      <c r="W237">
        <v>0.44277309395296083</v>
      </c>
      <c r="X237">
        <v>7.5392512077294169</v>
      </c>
      <c r="Y237">
        <v>12.30685721237953</v>
      </c>
      <c r="Z237">
        <v>19.71650236248065</v>
      </c>
      <c r="AA237">
        <v>11.12967332818269</v>
      </c>
      <c r="AB237">
        <v>9.3554650798614656</v>
      </c>
      <c r="AC237">
        <v>-3.526628710205487</v>
      </c>
      <c r="AD237">
        <v>-1.8144143823216179</v>
      </c>
      <c r="AE237">
        <v>4.124615263676862</v>
      </c>
      <c r="AF237">
        <v>5.4008850482645969E-2</v>
      </c>
      <c r="AG237">
        <v>-0.1509109799347772</v>
      </c>
      <c r="AH237">
        <v>-0.83940311695255099</v>
      </c>
      <c r="AI237">
        <v>1.015341505308095</v>
      </c>
      <c r="AJ237">
        <v>0.38708179787075703</v>
      </c>
      <c r="AK237">
        <v>1.393786636759385</v>
      </c>
      <c r="AL237">
        <v>-1.0068816885503391</v>
      </c>
      <c r="AM237">
        <v>39.162767379679522</v>
      </c>
      <c r="AN237">
        <v>16.43350345241635</v>
      </c>
      <c r="AO237">
        <v>4.6874999999999574</v>
      </c>
      <c r="AP237">
        <v>8.2508250825080207</v>
      </c>
      <c r="AQ237">
        <v>0.9753383810886741</v>
      </c>
      <c r="AR237">
        <v>-5.3213624882353358E-2</v>
      </c>
      <c r="AS237">
        <v>1.8626059546306719</v>
      </c>
      <c r="AT237">
        <v>3.9195913365314641</v>
      </c>
      <c r="AU237">
        <v>3.0598185753588369</v>
      </c>
      <c r="AV237">
        <v>-0.9300008840722136</v>
      </c>
      <c r="AW237">
        <v>0.39307868103166921</v>
      </c>
      <c r="AX237">
        <v>6.7829289302831377</v>
      </c>
      <c r="AY237">
        <v>2.2289777941402682</v>
      </c>
      <c r="AZ237">
        <v>0.94567327170521365</v>
      </c>
      <c r="BA237">
        <v>8.6948281436390165</v>
      </c>
      <c r="BB237">
        <v>3.71360592035809</v>
      </c>
      <c r="BC237">
        <v>1.4459451743086369</v>
      </c>
      <c r="BD237">
        <v>3.5635147290395999</v>
      </c>
      <c r="BE237">
        <v>2.5771817405584789</v>
      </c>
      <c r="BF237">
        <v>1.8253947590916171</v>
      </c>
      <c r="BG237">
        <v>0.19087507624975</v>
      </c>
      <c r="BH237">
        <v>2.5850039080159468</v>
      </c>
      <c r="BI237">
        <v>1.285448470514168</v>
      </c>
      <c r="BJ237">
        <v>-0.98188986894311914</v>
      </c>
      <c r="BK237">
        <v>0.92775542645718256</v>
      </c>
      <c r="BL237">
        <v>0.674652770077525</v>
      </c>
      <c r="BM237">
        <v>1.6992846329939899</v>
      </c>
      <c r="BN237">
        <v>4.1862150652351984</v>
      </c>
      <c r="BO237">
        <v>7.967573616179453</v>
      </c>
      <c r="BP237">
        <v>5.4892856814113138</v>
      </c>
      <c r="BQ237">
        <v>2.8626207408980062</v>
      </c>
    </row>
    <row r="238" spans="1:69" x14ac:dyDescent="0.25">
      <c r="A238" t="s">
        <v>3485</v>
      </c>
      <c r="B238" t="s">
        <v>3486</v>
      </c>
      <c r="C238" t="s">
        <v>3023</v>
      </c>
      <c r="D238" t="s">
        <v>3024</v>
      </c>
      <c r="E238">
        <v>-0.76586433260376541</v>
      </c>
      <c r="F238">
        <v>7.3869900771770833</v>
      </c>
      <c r="G238">
        <v>3.6960985626289422</v>
      </c>
      <c r="I238">
        <v>-0.79207920792111253</v>
      </c>
      <c r="J238">
        <v>0.16633399842015101</v>
      </c>
      <c r="K238">
        <v>4.0352042506744477</v>
      </c>
      <c r="L238">
        <v>4.3096568235713182</v>
      </c>
      <c r="M238">
        <v>1.790359602230261</v>
      </c>
      <c r="N238">
        <v>2.4503908598309718</v>
      </c>
      <c r="O238">
        <v>-8.8041085546247427E-2</v>
      </c>
      <c r="P238">
        <v>0.48465266537079538</v>
      </c>
      <c r="Q238">
        <v>4.8377667349742746</v>
      </c>
      <c r="R238">
        <v>15.50954970027056</v>
      </c>
      <c r="S238">
        <v>24.313559833501412</v>
      </c>
      <c r="T238">
        <v>5.330097087498646</v>
      </c>
      <c r="U238">
        <v>4.1493055549479303</v>
      </c>
      <c r="V238">
        <v>7.6012668776903132</v>
      </c>
      <c r="W238">
        <v>7.9240898530378594</v>
      </c>
      <c r="X238">
        <v>9.8973659655991835</v>
      </c>
      <c r="Y238">
        <v>19.703500522778022</v>
      </c>
      <c r="Z238">
        <v>12.662993071021541</v>
      </c>
      <c r="AA238">
        <v>5.259079903168268</v>
      </c>
      <c r="AB238">
        <v>3.726536621240752</v>
      </c>
      <c r="AC238">
        <v>0.86489843027932145</v>
      </c>
      <c r="AD238">
        <v>2.4317312343347539</v>
      </c>
      <c r="AE238">
        <v>1.8416759680604631</v>
      </c>
      <c r="AF238">
        <v>2.466461128239533</v>
      </c>
      <c r="AG238">
        <v>3.8627307473365531</v>
      </c>
      <c r="AH238">
        <v>5.355465079862161</v>
      </c>
      <c r="AI238">
        <v>5.8639947437582816</v>
      </c>
      <c r="AJ238">
        <v>5.7098525989139643</v>
      </c>
      <c r="AK238">
        <v>4.1391457507705551</v>
      </c>
      <c r="AL238">
        <v>3.3121916842846839</v>
      </c>
      <c r="AM238">
        <v>5.047748976807549</v>
      </c>
      <c r="AN238">
        <v>5.8181818181819231</v>
      </c>
      <c r="AO238">
        <v>5.8051055473734943</v>
      </c>
      <c r="AP238">
        <v>5.6257974712910439</v>
      </c>
      <c r="AQ238">
        <v>7.9947287502745983</v>
      </c>
      <c r="AR238">
        <v>0.28472645922303441</v>
      </c>
      <c r="AS238">
        <v>1.5919691746097151</v>
      </c>
      <c r="AT238">
        <v>1.6269088731409129</v>
      </c>
      <c r="AU238">
        <v>0.69730897662544855</v>
      </c>
      <c r="AV238">
        <v>1.8043499463572079</v>
      </c>
      <c r="AW238">
        <v>2.7591492623107969</v>
      </c>
      <c r="AX238">
        <v>4.5403691963453481</v>
      </c>
      <c r="AY238">
        <v>4.6374743601176487</v>
      </c>
      <c r="AZ238">
        <v>2.2415409528680299</v>
      </c>
      <c r="BA238">
        <v>5.4684894964984503</v>
      </c>
      <c r="BB238">
        <v>-0.84571609231672062</v>
      </c>
      <c r="BC238">
        <v>3.2475884244372319</v>
      </c>
      <c r="BD238">
        <v>3.8087905813963419</v>
      </c>
      <c r="BE238">
        <v>3.0148995033498469</v>
      </c>
      <c r="BF238">
        <v>2.1848861853068748</v>
      </c>
      <c r="BG238">
        <v>1.895141818987798</v>
      </c>
      <c r="BH238">
        <v>-0.9004249632915694</v>
      </c>
      <c r="BI238">
        <v>0.1881497044481433</v>
      </c>
      <c r="BJ238">
        <v>0.66563189313510618</v>
      </c>
      <c r="BK238">
        <v>1.063897541830241</v>
      </c>
      <c r="BL238">
        <v>0.70672860131431103</v>
      </c>
      <c r="BM238">
        <v>-0.84593714735704117</v>
      </c>
      <c r="BN238">
        <v>1.2303954131838359</v>
      </c>
      <c r="BO238">
        <v>-1.6106803048668801</v>
      </c>
      <c r="BP238">
        <v>8.4780517442154295</v>
      </c>
      <c r="BQ238">
        <v>1.365805407980367</v>
      </c>
    </row>
    <row r="239" spans="1:69" x14ac:dyDescent="0.25">
      <c r="A239" t="s">
        <v>3487</v>
      </c>
      <c r="B239" t="s">
        <v>3488</v>
      </c>
      <c r="C239" t="s">
        <v>3023</v>
      </c>
      <c r="D239" t="s">
        <v>3024</v>
      </c>
      <c r="AT239">
        <v>38.591889448859988</v>
      </c>
      <c r="AU239">
        <v>12.249984784588451</v>
      </c>
      <c r="AV239">
        <v>16.303491204949061</v>
      </c>
      <c r="AW239">
        <v>7.141965086922526</v>
      </c>
      <c r="AX239">
        <v>7.0919324408377307</v>
      </c>
      <c r="AY239">
        <v>10.010865188646109</v>
      </c>
      <c r="AZ239">
        <v>13.149124706298201</v>
      </c>
      <c r="BA239">
        <v>20.470521910996421</v>
      </c>
      <c r="BB239">
        <v>6.4482348106669676</v>
      </c>
      <c r="BC239">
        <v>6.4453144078065829</v>
      </c>
      <c r="BD239">
        <v>12.431549043040601</v>
      </c>
      <c r="BE239">
        <v>5.8311660103146243</v>
      </c>
      <c r="BF239">
        <v>5.00964645344951</v>
      </c>
      <c r="BG239">
        <v>6.1044276512966711</v>
      </c>
      <c r="BH239">
        <v>5.7145594964971043</v>
      </c>
      <c r="BI239">
        <v>6.0045808232213913</v>
      </c>
    </row>
    <row r="240" spans="1:69" x14ac:dyDescent="0.25">
      <c r="A240" t="s">
        <v>3489</v>
      </c>
      <c r="B240" t="s">
        <v>3490</v>
      </c>
      <c r="C240" t="s">
        <v>3023</v>
      </c>
      <c r="D240" t="s">
        <v>3024</v>
      </c>
    </row>
    <row r="241" spans="1:70" x14ac:dyDescent="0.25">
      <c r="A241" t="s">
        <v>3491</v>
      </c>
      <c r="B241" t="s">
        <v>3492</v>
      </c>
      <c r="C241" t="s">
        <v>3023</v>
      </c>
      <c r="D241" t="s">
        <v>3024</v>
      </c>
    </row>
    <row r="242" spans="1:70" x14ac:dyDescent="0.25">
      <c r="A242" t="s">
        <v>3493</v>
      </c>
      <c r="B242" t="s">
        <v>3494</v>
      </c>
      <c r="C242" t="s">
        <v>3023</v>
      </c>
      <c r="D242" t="s">
        <v>3024</v>
      </c>
      <c r="AV242">
        <v>7.1651589144183854</v>
      </c>
      <c r="AW242">
        <v>3.237513940033208</v>
      </c>
      <c r="AX242">
        <v>1.111674003871979</v>
      </c>
      <c r="AY242">
        <v>3.9361625992986609</v>
      </c>
      <c r="AZ242">
        <v>10.300902017489451</v>
      </c>
      <c r="BA242">
        <v>9.0642362194894162</v>
      </c>
      <c r="BB242">
        <v>0.66968118596543325</v>
      </c>
      <c r="BC242">
        <v>6.7659768023648104</v>
      </c>
      <c r="BD242">
        <v>13.49984023857702</v>
      </c>
      <c r="BE242">
        <v>11.8003096701544</v>
      </c>
      <c r="BF242">
        <v>11.084908510995421</v>
      </c>
      <c r="BG242">
        <v>0.7262750161394651</v>
      </c>
      <c r="BH242">
        <v>0.55279602627785307</v>
      </c>
      <c r="BI242">
        <v>-1.3385387618516309</v>
      </c>
      <c r="BJ242">
        <v>0.55721553743036101</v>
      </c>
      <c r="BK242">
        <v>2.636472010158919</v>
      </c>
      <c r="BL242">
        <v>0.95881273970314129</v>
      </c>
      <c r="BM242">
        <v>0.49549921545957099</v>
      </c>
      <c r="BN242">
        <v>3.697920946667864</v>
      </c>
      <c r="BO242">
        <v>7.0053094539978691</v>
      </c>
      <c r="BP242">
        <v>8.420351033103767</v>
      </c>
      <c r="BQ242">
        <v>2.0628415300546812</v>
      </c>
    </row>
    <row r="243" spans="1:70" x14ac:dyDescent="0.25">
      <c r="A243" t="s">
        <v>3495</v>
      </c>
      <c r="B243" t="s">
        <v>3496</v>
      </c>
      <c r="C243" t="s">
        <v>3023</v>
      </c>
      <c r="D243" t="s">
        <v>3024</v>
      </c>
    </row>
    <row r="244" spans="1:70" x14ac:dyDescent="0.25">
      <c r="A244" t="s">
        <v>3497</v>
      </c>
      <c r="B244" t="s">
        <v>3498</v>
      </c>
      <c r="C244" t="s">
        <v>3023</v>
      </c>
      <c r="D244" t="s">
        <v>3024</v>
      </c>
      <c r="U244">
        <v>7.1095758354755274</v>
      </c>
      <c r="V244">
        <v>17.53793844846124</v>
      </c>
      <c r="W244">
        <v>9.5843791211128693</v>
      </c>
      <c r="X244">
        <v>5.4600155279504419</v>
      </c>
      <c r="Y244">
        <v>22.39338891649647</v>
      </c>
      <c r="Z244">
        <v>14.8992481203003</v>
      </c>
      <c r="AA244">
        <v>10.837870380065519</v>
      </c>
      <c r="AB244">
        <v>9.8135531178777509</v>
      </c>
      <c r="AC244">
        <v>0.10645161290371689</v>
      </c>
      <c r="AD244">
        <v>16.765000000000001</v>
      </c>
      <c r="AE244">
        <v>21.673874876889361</v>
      </c>
      <c r="AF244">
        <v>4.6859877879250389</v>
      </c>
      <c r="AG244">
        <v>9.9240233981040191</v>
      </c>
      <c r="AH244">
        <v>4.0736436479293241</v>
      </c>
      <c r="AI244">
        <v>9.7098638456265522</v>
      </c>
      <c r="AJ244">
        <v>10.595449399479319</v>
      </c>
      <c r="AK244">
        <v>7.936980121928741</v>
      </c>
      <c r="AL244">
        <v>0.96090446045917344</v>
      </c>
      <c r="AM244">
        <v>1.012952066948561</v>
      </c>
      <c r="AN244">
        <v>1.460006303509721</v>
      </c>
      <c r="AO244">
        <v>2.995280239911434</v>
      </c>
      <c r="AP244">
        <v>2.1247313240803751</v>
      </c>
      <c r="AQ244">
        <v>3.2744455426046439</v>
      </c>
      <c r="AR244">
        <v>4.4643546767589104</v>
      </c>
      <c r="AS244">
        <v>6.3276355141115523</v>
      </c>
      <c r="AT244">
        <v>8.2902831885033041</v>
      </c>
      <c r="AU244">
        <v>10.359060791850711</v>
      </c>
      <c r="AV244">
        <v>11.638621958073459</v>
      </c>
      <c r="AW244">
        <v>10.97340536795539</v>
      </c>
      <c r="AX244">
        <v>8.6656922113175128</v>
      </c>
      <c r="AY244">
        <v>6.1491160645657503</v>
      </c>
      <c r="AZ244">
        <v>5.8422487490138737</v>
      </c>
      <c r="BA244">
        <v>10.44698751282222</v>
      </c>
      <c r="BB244">
        <v>1.426859720705338</v>
      </c>
      <c r="BC244">
        <v>3.5349123918983052</v>
      </c>
      <c r="BD244">
        <v>6.2707530299569108</v>
      </c>
      <c r="BE244">
        <v>1.147538537060552</v>
      </c>
      <c r="BF244">
        <v>0.77562932236741955</v>
      </c>
      <c r="BG244">
        <v>2.5108763325370562</v>
      </c>
      <c r="BH244">
        <v>-1.0539983197128251</v>
      </c>
      <c r="BI244">
        <v>2.5781551524508122</v>
      </c>
      <c r="BJ244">
        <v>7.5170628355111493</v>
      </c>
      <c r="BK244">
        <v>5.0320969198487413</v>
      </c>
      <c r="BL244">
        <v>1.179543348218083</v>
      </c>
      <c r="BM244">
        <v>-0.34973769672749611</v>
      </c>
      <c r="BN244">
        <v>5.6405114063675112</v>
      </c>
      <c r="BO244">
        <v>10.97136529030216</v>
      </c>
      <c r="BP244">
        <v>6.3511298025518901</v>
      </c>
      <c r="BQ244">
        <v>3.2305630026809991</v>
      </c>
    </row>
    <row r="245" spans="1:70" x14ac:dyDescent="0.25">
      <c r="A245" t="s">
        <v>3499</v>
      </c>
      <c r="B245" t="s">
        <v>3500</v>
      </c>
      <c r="C245" t="s">
        <v>3023</v>
      </c>
      <c r="D245" t="s">
        <v>3024</v>
      </c>
    </row>
    <row r="246" spans="1:70" x14ac:dyDescent="0.25">
      <c r="A246" t="s">
        <v>3501</v>
      </c>
      <c r="B246" t="s">
        <v>3502</v>
      </c>
      <c r="C246" t="s">
        <v>3023</v>
      </c>
      <c r="D246" t="s">
        <v>3024</v>
      </c>
    </row>
    <row r="247" spans="1:70" x14ac:dyDescent="0.25">
      <c r="A247" t="s">
        <v>3503</v>
      </c>
      <c r="B247" t="s">
        <v>3504</v>
      </c>
      <c r="C247" t="s">
        <v>3023</v>
      </c>
      <c r="D247" t="s">
        <v>3024</v>
      </c>
      <c r="E247">
        <v>2.080000000078154</v>
      </c>
      <c r="F247">
        <v>1.5227576978899151</v>
      </c>
      <c r="G247">
        <v>2.983352563392863</v>
      </c>
      <c r="H247">
        <v>3.761203584916446</v>
      </c>
      <c r="I247">
        <v>0.86379762440665042</v>
      </c>
      <c r="J247">
        <v>1.7816179844884921</v>
      </c>
      <c r="K247">
        <v>4.0943580499049039</v>
      </c>
      <c r="L247">
        <v>2.136258660154926</v>
      </c>
      <c r="M247">
        <v>8.2320520069128271</v>
      </c>
      <c r="N247">
        <v>2.43520271601535</v>
      </c>
      <c r="O247">
        <v>2.5239005736269169</v>
      </c>
      <c r="P247">
        <v>3.5310207632899782</v>
      </c>
      <c r="Q247">
        <v>9.3010688125333498</v>
      </c>
      <c r="R247">
        <v>14.81074548157101</v>
      </c>
      <c r="S247">
        <v>22.024977271761689</v>
      </c>
      <c r="T247">
        <v>16.979060465689461</v>
      </c>
      <c r="U247">
        <v>10.69246435777287</v>
      </c>
      <c r="V247">
        <v>11.74486353909416</v>
      </c>
      <c r="W247">
        <v>10.256586168874041</v>
      </c>
      <c r="X247">
        <v>14.72217036899923</v>
      </c>
      <c r="Y247">
        <v>17.470304279577171</v>
      </c>
      <c r="Z247">
        <v>14.331886600939511</v>
      </c>
      <c r="AA247">
        <v>11.634762943167321</v>
      </c>
      <c r="AB247">
        <v>15.17499999933316</v>
      </c>
      <c r="AC247">
        <v>13.334780406632399</v>
      </c>
      <c r="AD247">
        <v>7.6225740552019552</v>
      </c>
      <c r="AE247">
        <v>7.6936765932313467</v>
      </c>
      <c r="AF247">
        <v>10.75185899207421</v>
      </c>
      <c r="AG247">
        <v>7.7584920674391684</v>
      </c>
      <c r="AH247">
        <v>11.43213181335666</v>
      </c>
      <c r="AI247">
        <v>11.06442577030832</v>
      </c>
      <c r="AJ247">
        <v>3.7831021437579451</v>
      </c>
      <c r="AK247">
        <v>6.4398541919806087</v>
      </c>
      <c r="AL247">
        <v>10.83523592085203</v>
      </c>
      <c r="AM247">
        <v>8.8146940176810578</v>
      </c>
      <c r="AN247">
        <v>5.1822053951727352</v>
      </c>
      <c r="AO247">
        <v>3.4045744281962418</v>
      </c>
      <c r="AP247">
        <v>3.626078758430813</v>
      </c>
      <c r="AQ247">
        <v>5.6127090769120107</v>
      </c>
      <c r="AR247">
        <v>3.4391359088199609</v>
      </c>
      <c r="AS247">
        <v>3.5554131966687699</v>
      </c>
      <c r="AT247">
        <v>5.5366532632230019</v>
      </c>
      <c r="AU247">
        <v>4.150058616647196</v>
      </c>
      <c r="AV247">
        <v>3.8111062439686991</v>
      </c>
      <c r="AW247">
        <v>3.7215493899596539</v>
      </c>
      <c r="AX247">
        <v>6.874534595835164</v>
      </c>
      <c r="AY247">
        <v>8.329603514653467</v>
      </c>
      <c r="AZ247">
        <v>7.8943883475729946</v>
      </c>
      <c r="BA247">
        <v>12.030344547717689</v>
      </c>
      <c r="BB247">
        <v>6.9780872525154694</v>
      </c>
      <c r="BC247">
        <v>10.549200317998761</v>
      </c>
      <c r="BD247">
        <v>5.1071328926456001</v>
      </c>
      <c r="BE247">
        <v>9.2602813706829199</v>
      </c>
      <c r="BF247">
        <v>5.1998174046561108</v>
      </c>
      <c r="BG247">
        <v>5.6844181459565926</v>
      </c>
      <c r="BH247">
        <v>4.6612159809826412</v>
      </c>
      <c r="BI247">
        <v>3.0706674246402428</v>
      </c>
      <c r="BJ247">
        <v>1.880384401835318</v>
      </c>
      <c r="BK247">
        <v>1.0185693018882189</v>
      </c>
      <c r="BL247">
        <v>1.000542930272373</v>
      </c>
      <c r="BM247">
        <v>0.59898633082464325</v>
      </c>
      <c r="BN247">
        <v>2.0592274691545769</v>
      </c>
      <c r="BO247">
        <v>5.8283863851795878</v>
      </c>
      <c r="BP247">
        <v>4.6293024241996807</v>
      </c>
      <c r="BQ247">
        <v>0.52688462577683925</v>
      </c>
    </row>
    <row r="248" spans="1:70" x14ac:dyDescent="0.25">
      <c r="A248" t="s">
        <v>3505</v>
      </c>
      <c r="B248" t="s">
        <v>3506</v>
      </c>
      <c r="C248" t="s">
        <v>3023</v>
      </c>
      <c r="D248" t="s">
        <v>3024</v>
      </c>
      <c r="AC248">
        <v>8.9000000000000981</v>
      </c>
      <c r="AD248">
        <v>7.2543617998163539</v>
      </c>
      <c r="AE248">
        <v>6.1643835616437057</v>
      </c>
      <c r="AF248">
        <v>8.2258064516129004</v>
      </c>
      <c r="AG248">
        <v>7.1969696969695507</v>
      </c>
      <c r="AH248">
        <v>7.7408860396133603</v>
      </c>
      <c r="AI248">
        <v>6.5452930728241432</v>
      </c>
      <c r="AJ248">
        <v>8.1937150954408526</v>
      </c>
      <c r="AK248">
        <v>5.8243451463790636</v>
      </c>
      <c r="AL248">
        <v>3.9749563191613011</v>
      </c>
      <c r="AM248">
        <v>4.7332306399659547</v>
      </c>
      <c r="AN248">
        <v>6.2441502874714638</v>
      </c>
      <c r="AO248">
        <v>3.7251447269071538</v>
      </c>
      <c r="AP248">
        <v>3.652026207230707</v>
      </c>
      <c r="AQ248">
        <v>3.1253657965586239</v>
      </c>
      <c r="AR248">
        <v>2.6901248581158042</v>
      </c>
      <c r="AS248">
        <v>2.962307947386055</v>
      </c>
      <c r="AT248">
        <v>1.9833333333333689</v>
      </c>
      <c r="AU248">
        <v>2.7210328485045481</v>
      </c>
      <c r="AV248">
        <v>2.7125924747435168</v>
      </c>
      <c r="AW248">
        <v>3.6322800495662508</v>
      </c>
      <c r="AX248">
        <v>2.0177864135714429</v>
      </c>
      <c r="AY248">
        <v>3.2252533743891658</v>
      </c>
      <c r="AZ248">
        <v>2.9669443247734888</v>
      </c>
      <c r="BA248">
        <v>4.3450280762304523</v>
      </c>
      <c r="BB248">
        <v>3.664903306429192</v>
      </c>
      <c r="BC248">
        <v>3.3389796360106878</v>
      </c>
      <c r="BD248">
        <v>3.2400284200953098</v>
      </c>
      <c r="BE248">
        <v>4.6118443220663972</v>
      </c>
      <c r="BF248">
        <v>5.3162353132668887</v>
      </c>
      <c r="BG248">
        <v>4.6255509953403093</v>
      </c>
      <c r="BH248">
        <v>4.4373712732149997</v>
      </c>
      <c r="BI248">
        <v>3.6293993738438082</v>
      </c>
      <c r="BJ248">
        <v>5.308848395658444</v>
      </c>
      <c r="BK248">
        <v>7.3075917603165186</v>
      </c>
      <c r="BL248">
        <v>6.7200753286379902</v>
      </c>
      <c r="BM248">
        <v>5.6341511589762474</v>
      </c>
      <c r="BN248">
        <v>5.7063502083070023</v>
      </c>
      <c r="BO248">
        <v>8.3064612444762336</v>
      </c>
      <c r="BP248">
        <v>9.3289959750786533</v>
      </c>
      <c r="BQ248">
        <v>7.2066165716879382</v>
      </c>
    </row>
    <row r="249" spans="1:70" x14ac:dyDescent="0.25">
      <c r="A249" t="s">
        <v>3507</v>
      </c>
      <c r="B249" t="s">
        <v>3508</v>
      </c>
      <c r="C249" t="s">
        <v>3023</v>
      </c>
      <c r="D249" t="s">
        <v>3024</v>
      </c>
      <c r="E249">
        <v>5.6647398843930858</v>
      </c>
      <c r="F249">
        <v>3.1728569970826839</v>
      </c>
      <c r="G249">
        <v>3.8883202514650348</v>
      </c>
      <c r="H249">
        <v>6.3627069283231146</v>
      </c>
      <c r="I249">
        <v>1.119637815431116</v>
      </c>
      <c r="J249">
        <v>4.5555336839482772</v>
      </c>
      <c r="K249">
        <v>8.4719962153922523</v>
      </c>
      <c r="L249">
        <v>13.974892948167451</v>
      </c>
      <c r="M249">
        <v>6.0462396619740666</v>
      </c>
      <c r="N249">
        <v>4.924193944982961</v>
      </c>
      <c r="O249">
        <v>7.9239520830199668</v>
      </c>
      <c r="P249">
        <v>19.011408683767488</v>
      </c>
      <c r="Q249">
        <v>15.41645572239622</v>
      </c>
      <c r="R249">
        <v>13.9381652448957</v>
      </c>
      <c r="S249">
        <v>23.898161576670461</v>
      </c>
      <c r="T249">
        <v>21.227355238583549</v>
      </c>
      <c r="U249">
        <v>17.455689389133749</v>
      </c>
      <c r="V249">
        <v>25.985337865060199</v>
      </c>
      <c r="W249">
        <v>61.897044438343457</v>
      </c>
      <c r="X249">
        <v>63.54310825063429</v>
      </c>
      <c r="Y249">
        <v>94.260859880759213</v>
      </c>
      <c r="Z249">
        <v>37.614782579771649</v>
      </c>
      <c r="AA249">
        <v>29.137514502267649</v>
      </c>
      <c r="AB249">
        <v>31.390271019844459</v>
      </c>
      <c r="AC249">
        <v>48.392323134686279</v>
      </c>
      <c r="AD249">
        <v>44.961730152877941</v>
      </c>
      <c r="AE249">
        <v>34.610075973874508</v>
      </c>
      <c r="AF249">
        <v>38.855843475840921</v>
      </c>
      <c r="AG249">
        <v>68.809643383704767</v>
      </c>
      <c r="AH249">
        <v>63.272552493095837</v>
      </c>
      <c r="AI249">
        <v>60.303869134644692</v>
      </c>
      <c r="AJ249">
        <v>65.978567991895019</v>
      </c>
      <c r="AK249">
        <v>70.076103869037354</v>
      </c>
      <c r="AL249">
        <v>66.093842982000396</v>
      </c>
      <c r="AM249">
        <v>105.2149864692022</v>
      </c>
      <c r="AN249">
        <v>89.113317224849936</v>
      </c>
      <c r="AO249">
        <v>80.412151138804248</v>
      </c>
      <c r="AP249">
        <v>85.669361649977944</v>
      </c>
      <c r="AQ249">
        <v>84.641343484631406</v>
      </c>
      <c r="AR249">
        <v>64.867487635075733</v>
      </c>
      <c r="AS249">
        <v>54.915370581268348</v>
      </c>
      <c r="AT249">
        <v>54.40018876190743</v>
      </c>
      <c r="AU249">
        <v>44.964120947984981</v>
      </c>
      <c r="AV249">
        <v>21.602438449057281</v>
      </c>
      <c r="AW249">
        <v>8.5982616811526178</v>
      </c>
      <c r="AX249">
        <v>8.179160368020078</v>
      </c>
      <c r="AY249">
        <v>9.5972421228844649</v>
      </c>
      <c r="AZ249">
        <v>8.7561809097263232</v>
      </c>
      <c r="BA249">
        <v>10.44412837648847</v>
      </c>
      <c r="BB249">
        <v>6.2509766309062647</v>
      </c>
      <c r="BC249">
        <v>8.5664442055297592</v>
      </c>
      <c r="BD249">
        <v>6.471879671151</v>
      </c>
      <c r="BE249">
        <v>8.8915699651216258</v>
      </c>
      <c r="BF249">
        <v>7.4930903054769313</v>
      </c>
      <c r="BG249">
        <v>8.8545727136431598</v>
      </c>
      <c r="BH249">
        <v>7.6708536484588477</v>
      </c>
      <c r="BI249">
        <v>7.7751341532833012</v>
      </c>
      <c r="BJ249">
        <v>11.144311084076421</v>
      </c>
      <c r="BK249">
        <v>16.33246389889289</v>
      </c>
      <c r="BL249">
        <v>15.176821572002231</v>
      </c>
      <c r="BM249">
        <v>12.27895744625741</v>
      </c>
      <c r="BN249">
        <v>19.596492691332401</v>
      </c>
      <c r="BO249">
        <v>72.308835989120652</v>
      </c>
      <c r="BP249">
        <v>53.859408759331508</v>
      </c>
      <c r="BQ249">
        <v>58.506450730034153</v>
      </c>
    </row>
    <row r="250" spans="1:70" x14ac:dyDescent="0.25">
      <c r="A250" t="s">
        <v>3509</v>
      </c>
      <c r="B250" t="s">
        <v>3510</v>
      </c>
      <c r="C250" t="s">
        <v>3023</v>
      </c>
      <c r="D250" t="s">
        <v>3024</v>
      </c>
      <c r="BD250">
        <v>0.50058074315269996</v>
      </c>
    </row>
    <row r="251" spans="1:70" x14ac:dyDescent="0.25">
      <c r="A251" t="s">
        <v>3511</v>
      </c>
      <c r="B251" t="s">
        <v>3512</v>
      </c>
      <c r="C251" t="s">
        <v>3023</v>
      </c>
      <c r="D251" t="s">
        <v>3024</v>
      </c>
      <c r="K251">
        <v>9.7770154392759618</v>
      </c>
      <c r="L251">
        <v>12.187499998436831</v>
      </c>
      <c r="M251">
        <v>15.59888579548266</v>
      </c>
      <c r="N251">
        <v>16.41566264999976</v>
      </c>
      <c r="O251">
        <v>3.4928848641835701</v>
      </c>
      <c r="P251">
        <v>4.775000000023752</v>
      </c>
      <c r="Q251">
        <v>7.6354092100103781</v>
      </c>
      <c r="R251">
        <v>10.396807803216729</v>
      </c>
      <c r="S251">
        <v>19.598393574214821</v>
      </c>
      <c r="T251">
        <v>26.057756884157332</v>
      </c>
      <c r="U251">
        <v>6.8593500265325051</v>
      </c>
      <c r="V251">
        <v>11.604138103011859</v>
      </c>
      <c r="W251">
        <v>6.5750000000000854</v>
      </c>
      <c r="X251">
        <v>12.948627726952861</v>
      </c>
      <c r="Y251">
        <v>30.19730010384205</v>
      </c>
      <c r="Z251">
        <v>25.650023927261209</v>
      </c>
      <c r="AA251">
        <v>28.932334645169341</v>
      </c>
      <c r="AB251">
        <v>27.055927530523789</v>
      </c>
      <c r="AC251">
        <v>36.145941505602842</v>
      </c>
      <c r="AD251">
        <v>33.282103825136772</v>
      </c>
      <c r="AE251">
        <v>32.432201580183659</v>
      </c>
      <c r="AF251">
        <v>29.949369537876141</v>
      </c>
      <c r="AG251">
        <v>31.1867182846932</v>
      </c>
      <c r="AH251">
        <v>25.849838261165718</v>
      </c>
      <c r="AI251">
        <v>35.826771653543332</v>
      </c>
      <c r="AJ251">
        <v>28.69565217391299</v>
      </c>
      <c r="AK251">
        <v>21.84684684684731</v>
      </c>
      <c r="AL251">
        <v>25.277264325322989</v>
      </c>
      <c r="AM251">
        <v>34.083364072298401</v>
      </c>
      <c r="AN251">
        <v>27.427785419532292</v>
      </c>
      <c r="AO251">
        <v>20.977259643062879</v>
      </c>
      <c r="AP251">
        <v>16.090654928320149</v>
      </c>
      <c r="AQ251">
        <v>12.799754047960869</v>
      </c>
      <c r="AR251">
        <v>7.8904333605887658</v>
      </c>
      <c r="AS251">
        <v>5.9239610963747937</v>
      </c>
      <c r="AT251">
        <v>5.1474680022261818</v>
      </c>
      <c r="AU251">
        <v>5.3178336611820276</v>
      </c>
      <c r="AV251">
        <v>5.303566215097816</v>
      </c>
      <c r="AW251">
        <v>4.7358014394905812</v>
      </c>
      <c r="AX251">
        <v>5.0345700926716308</v>
      </c>
      <c r="AY251">
        <v>7.2509726208254603</v>
      </c>
      <c r="AZ251">
        <v>7.0255143697477136</v>
      </c>
      <c r="BA251">
        <v>10.278393762113479</v>
      </c>
      <c r="BB251">
        <v>12.14222787429879</v>
      </c>
      <c r="BC251">
        <v>6.2001559564740258</v>
      </c>
      <c r="BD251">
        <v>12.690969469916199</v>
      </c>
      <c r="BE251">
        <v>16.001093850633819</v>
      </c>
      <c r="BF251">
        <v>7.8707236457395879</v>
      </c>
      <c r="BG251">
        <v>6.1316143298801169</v>
      </c>
      <c r="BH251">
        <v>5.5881695295929807</v>
      </c>
      <c r="BI251">
        <v>5.1747662930149323</v>
      </c>
      <c r="BJ251">
        <v>5.3187160522893082</v>
      </c>
      <c r="BK251">
        <v>3.4944584885618131</v>
      </c>
      <c r="BL251">
        <v>3.4642805799902052</v>
      </c>
      <c r="BM251">
        <v>3.2902906279832549</v>
      </c>
      <c r="BN251">
        <v>3.6909195880219881</v>
      </c>
      <c r="BO251">
        <v>4.350272042691012</v>
      </c>
      <c r="BP251">
        <v>3.799232913849163</v>
      </c>
      <c r="BQ251">
        <v>3.056946763123725</v>
      </c>
    </row>
    <row r="252" spans="1:70" x14ac:dyDescent="0.25">
      <c r="A252" t="s">
        <v>3513</v>
      </c>
      <c r="B252" t="s">
        <v>3514</v>
      </c>
      <c r="C252" t="s">
        <v>3023</v>
      </c>
      <c r="D252" t="s">
        <v>3024</v>
      </c>
      <c r="AM252">
        <v>10.036759879217531</v>
      </c>
      <c r="AN252">
        <v>6.5501401897037068</v>
      </c>
      <c r="AO252">
        <v>7.1916466043334424</v>
      </c>
      <c r="AP252">
        <v>8.1690214410696314</v>
      </c>
      <c r="AQ252">
        <v>6.8804171998317232E-2</v>
      </c>
      <c r="AR252">
        <v>5.7773689868789457</v>
      </c>
      <c r="AS252">
        <v>3.3920215851299802</v>
      </c>
      <c r="AT252">
        <v>1.865125240847725</v>
      </c>
      <c r="AU252">
        <v>-0.28750851176519637</v>
      </c>
      <c r="AV252">
        <v>8.6804765156688362</v>
      </c>
      <c r="AW252">
        <v>3.7212874397822842</v>
      </c>
      <c r="AX252">
        <v>8.4487264229953212</v>
      </c>
      <c r="AY252">
        <v>7.3106761356186372</v>
      </c>
      <c r="AZ252">
        <v>6.138510832850498</v>
      </c>
      <c r="BA252">
        <v>12.050855548288551</v>
      </c>
      <c r="BB252">
        <v>13.017256188918539</v>
      </c>
      <c r="BC252">
        <v>3.976552884781682</v>
      </c>
      <c r="BD252">
        <v>16.564349617451519</v>
      </c>
      <c r="BE252">
        <v>12.679037722465891</v>
      </c>
      <c r="BF252">
        <v>4.9052087569455676</v>
      </c>
      <c r="BG252">
        <v>3.075706689586414</v>
      </c>
      <c r="BH252">
        <v>5.589686062517254</v>
      </c>
      <c r="BI252">
        <v>5.7063750461621199</v>
      </c>
      <c r="BJ252">
        <v>5.2097170591420916</v>
      </c>
      <c r="BK252">
        <v>2.6160119095227441</v>
      </c>
      <c r="BL252">
        <v>2.8675880344689988</v>
      </c>
      <c r="BM252">
        <v>3.313322895445018</v>
      </c>
      <c r="BN252">
        <v>2.204572047574139</v>
      </c>
      <c r="BO252">
        <v>7.1957888597581032</v>
      </c>
      <c r="BP252">
        <v>5.3509480428039531</v>
      </c>
      <c r="BQ252">
        <v>3.3233806708655962</v>
      </c>
    </row>
    <row r="253" spans="1:70" x14ac:dyDescent="0.25">
      <c r="A253" t="s">
        <v>3515</v>
      </c>
      <c r="B253" t="s">
        <v>3516</v>
      </c>
      <c r="C253" t="s">
        <v>3023</v>
      </c>
      <c r="D253" t="s">
        <v>3024</v>
      </c>
      <c r="AL253">
        <v>4734.9143474458488</v>
      </c>
      <c r="AM253">
        <v>891.18774813370487</v>
      </c>
      <c r="AN253">
        <v>376.7461747682093</v>
      </c>
      <c r="AO253">
        <v>80.325501455174233</v>
      </c>
      <c r="AP253">
        <v>15.94059941494297</v>
      </c>
      <c r="AQ253">
        <v>10.577161148251429</v>
      </c>
      <c r="AR253">
        <v>22.683671806134502</v>
      </c>
      <c r="AS253">
        <v>28.203097238855239</v>
      </c>
      <c r="AT253">
        <v>11.95880853904594</v>
      </c>
      <c r="AU253">
        <v>0.75742084639286034</v>
      </c>
      <c r="AV253">
        <v>5.1796778190831496</v>
      </c>
      <c r="AW253">
        <v>9.0480678605088833</v>
      </c>
      <c r="AX253">
        <v>13.56957649092478</v>
      </c>
      <c r="AY253">
        <v>9.0525249113324815</v>
      </c>
      <c r="AZ253">
        <v>12.838779619018119</v>
      </c>
      <c r="BA253">
        <v>25.226461707384029</v>
      </c>
      <c r="BB253">
        <v>15.881192459447609</v>
      </c>
      <c r="BC253">
        <v>9.3729310507897807</v>
      </c>
      <c r="BD253">
        <v>7.9557246627465217</v>
      </c>
      <c r="BE253">
        <v>0.56872797180386225</v>
      </c>
      <c r="BF253">
        <v>-0.23894862604540659</v>
      </c>
      <c r="BG253">
        <v>12.071856287425099</v>
      </c>
      <c r="BH253">
        <v>48.699864643442361</v>
      </c>
      <c r="BI253">
        <v>13.91271019977966</v>
      </c>
      <c r="BJ253">
        <v>14.43832274887494</v>
      </c>
      <c r="BK253">
        <v>10.951855935317839</v>
      </c>
      <c r="BL253">
        <v>7.8867174561113318</v>
      </c>
      <c r="BM253">
        <v>2.7324920941942721</v>
      </c>
      <c r="BN253">
        <v>9.3631391769522327</v>
      </c>
      <c r="BO253">
        <v>20.183636661747801</v>
      </c>
      <c r="BP253">
        <v>12.849022282855881</v>
      </c>
      <c r="BQ253">
        <v>6.5019846466925397</v>
      </c>
    </row>
    <row r="254" spans="1:70" x14ac:dyDescent="0.25">
      <c r="A254" t="s">
        <v>3517</v>
      </c>
      <c r="B254" t="s">
        <v>3518</v>
      </c>
      <c r="C254" t="s">
        <v>3023</v>
      </c>
      <c r="D254" t="s">
        <v>3024</v>
      </c>
    </row>
    <row r="255" spans="1:70" x14ac:dyDescent="0.25">
      <c r="A255" t="s">
        <v>3519</v>
      </c>
      <c r="B255" t="s">
        <v>3520</v>
      </c>
      <c r="C255" t="s">
        <v>3023</v>
      </c>
      <c r="D255" t="s">
        <v>3024</v>
      </c>
      <c r="E255">
        <v>38.5040374002647</v>
      </c>
      <c r="F255">
        <v>22.74726398679595</v>
      </c>
      <c r="G255">
        <v>10.90742438118985</v>
      </c>
      <c r="H255">
        <v>21.254695717558501</v>
      </c>
      <c r="I255">
        <v>42.369415701518648</v>
      </c>
      <c r="J255">
        <v>56.556556556660667</v>
      </c>
      <c r="K255">
        <v>73.462693206108497</v>
      </c>
      <c r="L255">
        <v>89.275297285037936</v>
      </c>
      <c r="M255">
        <v>125.33699112649199</v>
      </c>
      <c r="N255">
        <v>20.966666665999799</v>
      </c>
      <c r="O255">
        <v>16.306144943599751</v>
      </c>
      <c r="P255">
        <v>23.953088906173122</v>
      </c>
      <c r="Q255">
        <v>76.484923782881197</v>
      </c>
      <c r="R255">
        <v>96.997265318705814</v>
      </c>
      <c r="S255">
        <v>77.213413779201005</v>
      </c>
      <c r="T255">
        <v>81.405384006741869</v>
      </c>
      <c r="U255">
        <v>50.623049560461951</v>
      </c>
      <c r="V255">
        <v>58.196175021573659</v>
      </c>
      <c r="W255">
        <v>44.548343667239159</v>
      </c>
      <c r="X255">
        <v>66.844286185043714</v>
      </c>
      <c r="Y255">
        <v>63.475830431467323</v>
      </c>
      <c r="Z255">
        <v>34.04533586094739</v>
      </c>
      <c r="AA255">
        <v>18.992501295218219</v>
      </c>
      <c r="AB255">
        <v>49.197379650563747</v>
      </c>
      <c r="AC255">
        <v>55.304423541876332</v>
      </c>
      <c r="AD255">
        <v>72.222564428775613</v>
      </c>
      <c r="AE255">
        <v>76.380636411954427</v>
      </c>
      <c r="AF255">
        <v>63.566662432672402</v>
      </c>
      <c r="AG255">
        <v>62.191956459600391</v>
      </c>
      <c r="AH255">
        <v>80.447436728073484</v>
      </c>
      <c r="AI255">
        <v>112.5259055730227</v>
      </c>
      <c r="AJ255">
        <v>101.97168320250741</v>
      </c>
      <c r="AK255">
        <v>68.459193839537434</v>
      </c>
      <c r="AL255">
        <v>54.100792442519449</v>
      </c>
      <c r="AM255">
        <v>44.736042152193313</v>
      </c>
      <c r="AN255">
        <v>42.248319798375512</v>
      </c>
      <c r="AO255">
        <v>28.342048600430871</v>
      </c>
      <c r="AP255">
        <v>19.818809318377859</v>
      </c>
      <c r="AQ255">
        <v>10.811070305561611</v>
      </c>
      <c r="AR255">
        <v>5.6586880392790828</v>
      </c>
      <c r="AS255">
        <v>4.7638247273325121</v>
      </c>
      <c r="AT255">
        <v>4.3593406521727012</v>
      </c>
      <c r="AU255">
        <v>13.972472591351529</v>
      </c>
      <c r="AV255">
        <v>19.37973017439948</v>
      </c>
      <c r="AW255">
        <v>9.1576050754099736</v>
      </c>
      <c r="AX255">
        <v>4.6992773903564036</v>
      </c>
      <c r="AY255">
        <v>6.3976497438513089</v>
      </c>
      <c r="AZ255">
        <v>8.1146456117931294</v>
      </c>
      <c r="BA255">
        <v>7.8770737473088763</v>
      </c>
      <c r="BB255">
        <v>7.0622187438857367</v>
      </c>
      <c r="BC255">
        <v>6.6987088697813206</v>
      </c>
      <c r="BD255">
        <v>8.0928320630299009</v>
      </c>
      <c r="BE255">
        <v>8.0977658057360244</v>
      </c>
      <c r="BF255">
        <v>8.5751350400539703</v>
      </c>
      <c r="BG255">
        <v>8.8773533322982772</v>
      </c>
      <c r="BH255">
        <v>8.6662698707932826</v>
      </c>
      <c r="BI255">
        <v>9.6394134763507964</v>
      </c>
      <c r="BJ255">
        <v>6.2180938256186007</v>
      </c>
      <c r="BK255">
        <v>7.6065336037704698</v>
      </c>
      <c r="BL255">
        <v>7.8819887087961913</v>
      </c>
      <c r="BM255">
        <v>9.7564063607819413</v>
      </c>
      <c r="BN255">
        <v>7.7479140231476196</v>
      </c>
      <c r="BO255">
        <v>9.1043798307543682</v>
      </c>
      <c r="BP255">
        <v>5.8691035989611908</v>
      </c>
      <c r="BQ255">
        <v>4.8491436661315577</v>
      </c>
    </row>
    <row r="256" spans="1:70" s="114" customFormat="1" x14ac:dyDescent="0.25">
      <c r="A256" s="79" t="s">
        <v>13</v>
      </c>
      <c r="B256" s="79" t="s">
        <v>3521</v>
      </c>
      <c r="C256" s="79" t="s">
        <v>3023</v>
      </c>
      <c r="D256" s="79" t="s">
        <v>3024</v>
      </c>
      <c r="E256" s="79">
        <v>1.457975986277906</v>
      </c>
      <c r="F256" s="79">
        <v>1.0707241476472411</v>
      </c>
      <c r="G256" s="79">
        <v>1.1987733482018561</v>
      </c>
      <c r="H256" s="79">
        <v>1.239669421487533</v>
      </c>
      <c r="I256" s="79">
        <v>1.2789115646259099</v>
      </c>
      <c r="J256" s="79">
        <v>1.585169263836621</v>
      </c>
      <c r="K256" s="79">
        <v>3.0150753768844001</v>
      </c>
      <c r="L256" s="79">
        <v>2.7727856225930871</v>
      </c>
      <c r="M256" s="79">
        <v>4.2717961528853703</v>
      </c>
      <c r="N256" s="79">
        <v>5.4623862002874519</v>
      </c>
      <c r="O256" s="79">
        <v>5.8382553384825071</v>
      </c>
      <c r="P256" s="79">
        <v>4.2927666881305084</v>
      </c>
      <c r="Q256" s="79">
        <v>3.2722782465528271</v>
      </c>
      <c r="R256" s="79">
        <v>6.1777600637703829</v>
      </c>
      <c r="S256" s="79">
        <v>11.05480480480481</v>
      </c>
      <c r="T256" s="79">
        <v>9.1431468649653453</v>
      </c>
      <c r="U256" s="79">
        <v>5.7448126354908506</v>
      </c>
      <c r="V256" s="79">
        <v>6.5016839947284009</v>
      </c>
      <c r="W256" s="79">
        <v>7.6309638388560561</v>
      </c>
      <c r="X256" s="79">
        <v>11.25447112927951</v>
      </c>
      <c r="Y256" s="79">
        <v>13.549201974968421</v>
      </c>
      <c r="Z256" s="79">
        <v>10.334715340277089</v>
      </c>
      <c r="AA256" s="79">
        <v>6.131427000274928</v>
      </c>
      <c r="AB256" s="79">
        <v>3.2124352331606461</v>
      </c>
      <c r="AC256" s="79">
        <v>4.3005354752342901</v>
      </c>
      <c r="AD256" s="79">
        <v>3.5456441520936539</v>
      </c>
      <c r="AE256" s="79">
        <v>1.898047722342757</v>
      </c>
      <c r="AF256" s="79">
        <v>3.6645632175168981</v>
      </c>
      <c r="AG256" s="79">
        <v>4.0777411074441314</v>
      </c>
      <c r="AH256" s="79">
        <v>4.8270030300894442</v>
      </c>
      <c r="AI256" s="79">
        <v>5.3979564399032478</v>
      </c>
      <c r="AJ256" s="79">
        <v>4.2349639645384869</v>
      </c>
      <c r="AK256" s="79">
        <v>3.0288196781496879</v>
      </c>
      <c r="AL256" s="79">
        <v>2.9516569663855892</v>
      </c>
      <c r="AM256" s="79">
        <v>2.607441592154526</v>
      </c>
      <c r="AN256" s="79">
        <v>2.8054196885366158</v>
      </c>
      <c r="AO256" s="79">
        <v>2.9312041999344149</v>
      </c>
      <c r="AP256" s="79">
        <v>2.3376899373073541</v>
      </c>
      <c r="AQ256" s="79">
        <v>1.5522790987436379</v>
      </c>
      <c r="AR256" s="79">
        <v>2.1880271969735769</v>
      </c>
      <c r="AS256" s="79">
        <v>3.3768572714992908</v>
      </c>
      <c r="AT256" s="79">
        <v>2.8261711188540719</v>
      </c>
      <c r="AU256" s="79">
        <v>1.5860316265060119</v>
      </c>
      <c r="AV256" s="79">
        <v>2.2700949733611471</v>
      </c>
      <c r="AW256" s="79">
        <v>2.6772366930917189</v>
      </c>
      <c r="AX256" s="79">
        <v>3.3927468454955041</v>
      </c>
      <c r="AY256" s="79">
        <v>3.2259441007040399</v>
      </c>
      <c r="AZ256" s="79">
        <v>2.8526724815013829</v>
      </c>
      <c r="BA256" s="79">
        <v>3.8391002966509959</v>
      </c>
      <c r="BB256" s="79">
        <v>-0.35554626629974739</v>
      </c>
      <c r="BC256" s="79">
        <v>1.640043442389904</v>
      </c>
      <c r="BD256" s="79">
        <v>3.1568415686220002</v>
      </c>
      <c r="BE256" s="79">
        <v>2.0693372652606659</v>
      </c>
      <c r="BF256" s="79">
        <v>1.4648326556271669</v>
      </c>
      <c r="BG256" s="79">
        <v>1.622222977408174</v>
      </c>
      <c r="BH256" s="79">
        <v>0.11862713555245059</v>
      </c>
      <c r="BI256" s="79">
        <v>1.261583205705358</v>
      </c>
      <c r="BJ256" s="79">
        <v>2.1301100036596119</v>
      </c>
      <c r="BK256" s="79">
        <v>2.442583296928166</v>
      </c>
      <c r="BL256" s="79">
        <v>1.8122100752602051</v>
      </c>
      <c r="BM256" s="79">
        <v>1.2335843963062929</v>
      </c>
      <c r="BN256" s="79">
        <v>4.6978588636374212</v>
      </c>
      <c r="BO256" s="79">
        <v>8.0027998205212096</v>
      </c>
      <c r="BP256" s="79">
        <v>4.1163383837448784</v>
      </c>
      <c r="BQ256" s="79">
        <v>2.949525204852073</v>
      </c>
      <c r="BR256" s="79"/>
    </row>
    <row r="257" spans="1:69" x14ac:dyDescent="0.25">
      <c r="A257" t="s">
        <v>3522</v>
      </c>
      <c r="B257" t="s">
        <v>3523</v>
      </c>
      <c r="C257" t="s">
        <v>3023</v>
      </c>
      <c r="D257" t="s">
        <v>3024</v>
      </c>
      <c r="BD257">
        <v>13.7797446476602</v>
      </c>
      <c r="BE257">
        <v>13.208802668837301</v>
      </c>
      <c r="BF257">
        <v>11.841433362204871</v>
      </c>
      <c r="BG257">
        <v>9.2830935616269539</v>
      </c>
      <c r="BH257">
        <v>8.7518819673750752</v>
      </c>
      <c r="BI257">
        <v>8.1308866952359971</v>
      </c>
      <c r="BJ257">
        <v>13.87574254416354</v>
      </c>
      <c r="BK257">
        <v>17.524179651405479</v>
      </c>
      <c r="BL257">
        <v>14.52573595606866</v>
      </c>
      <c r="BM257">
        <v>12.86772973626065</v>
      </c>
      <c r="BN257">
        <v>10.849239750812201</v>
      </c>
      <c r="BO257">
        <v>11.446643699883589</v>
      </c>
      <c r="BP257">
        <v>9.9565907125801782</v>
      </c>
      <c r="BQ257">
        <v>9.6282546595668155</v>
      </c>
    </row>
    <row r="258" spans="1:69" x14ac:dyDescent="0.25">
      <c r="A258" t="s">
        <v>3524</v>
      </c>
      <c r="B258" t="s">
        <v>3525</v>
      </c>
      <c r="C258" t="s">
        <v>3023</v>
      </c>
      <c r="D258" t="s">
        <v>3024</v>
      </c>
      <c r="T258">
        <v>6.7977067973996261</v>
      </c>
      <c r="U258">
        <v>11.28898261758741</v>
      </c>
      <c r="V258">
        <v>10.18691320451434</v>
      </c>
      <c r="W258">
        <v>8.4295281028459463</v>
      </c>
      <c r="X258">
        <v>15.60847832357037</v>
      </c>
      <c r="Y258">
        <v>17.207475003735819</v>
      </c>
      <c r="Z258">
        <v>12.735656646251639</v>
      </c>
      <c r="AA258">
        <v>7.2282566224394298</v>
      </c>
      <c r="AB258">
        <v>5.4583879899021968</v>
      </c>
      <c r="AC258">
        <v>2.7019556358438308</v>
      </c>
      <c r="AD258">
        <v>2.1396851032909678</v>
      </c>
      <c r="AE258">
        <v>1.027667984189748</v>
      </c>
      <c r="AF258">
        <v>3.3059467918622061</v>
      </c>
      <c r="AG258">
        <v>0.2272296913462977</v>
      </c>
      <c r="AH258">
        <v>2.8339316077839571</v>
      </c>
      <c r="AI258">
        <v>7.6060995774389157</v>
      </c>
      <c r="AJ258">
        <v>5.4920038700133338</v>
      </c>
      <c r="AK258">
        <v>3.4635304272765439</v>
      </c>
      <c r="AL258">
        <v>4.2913755344665123</v>
      </c>
      <c r="AM258">
        <v>1.008949552522505</v>
      </c>
      <c r="AN258">
        <v>1.7383728988056659</v>
      </c>
      <c r="AO258">
        <v>4.4079011384645437</v>
      </c>
      <c r="AP258">
        <v>0.4436160298233483</v>
      </c>
      <c r="AQ258">
        <v>2.1424064726839021</v>
      </c>
      <c r="AR258">
        <v>1.0135504443887491</v>
      </c>
      <c r="AS258">
        <v>0.16767963748827869</v>
      </c>
      <c r="AT258">
        <v>0.90085848586649964</v>
      </c>
      <c r="AU258">
        <v>1.8555039904665469</v>
      </c>
      <c r="AV258">
        <v>0.2059817088242544</v>
      </c>
      <c r="AW258">
        <v>2.9600394671928649</v>
      </c>
      <c r="AX258">
        <v>3.733429164670202</v>
      </c>
      <c r="AY258">
        <v>2.7406751607067261</v>
      </c>
      <c r="AZ258">
        <v>7.2361470158480703</v>
      </c>
      <c r="BA258">
        <v>10.066241824584891</v>
      </c>
      <c r="BB258">
        <v>0.42153912568721541</v>
      </c>
      <c r="BC258">
        <v>0.74710902631147402</v>
      </c>
      <c r="BD258">
        <v>3.1860311155245999</v>
      </c>
      <c r="BE258">
        <v>2.598444141471008</v>
      </c>
      <c r="BF258">
        <v>0.80512780426792752</v>
      </c>
      <c r="BG258">
        <v>0.19385856079401531</v>
      </c>
      <c r="BH258">
        <v>-1.733611949539591</v>
      </c>
      <c r="BI258">
        <v>-0.1496416476332843</v>
      </c>
      <c r="BJ258">
        <v>2.1533364884051069</v>
      </c>
      <c r="BK258">
        <v>2.3241448536792131</v>
      </c>
      <c r="BL258">
        <v>0.9130697253245903</v>
      </c>
      <c r="BM258">
        <v>-0.62813130935465444</v>
      </c>
      <c r="BN258">
        <v>1.5727293250055769</v>
      </c>
      <c r="BO258">
        <v>5.6600977922655158</v>
      </c>
      <c r="BP258">
        <v>4.5645771981489442</v>
      </c>
      <c r="BQ258">
        <v>3.6277073694092699</v>
      </c>
    </row>
    <row r="259" spans="1:69" x14ac:dyDescent="0.25">
      <c r="A259" t="s">
        <v>3526</v>
      </c>
      <c r="B259" t="s">
        <v>3527</v>
      </c>
      <c r="C259" t="s">
        <v>3023</v>
      </c>
      <c r="D259" t="s">
        <v>3024</v>
      </c>
      <c r="BB259">
        <v>27.080941446613039</v>
      </c>
      <c r="BC259">
        <v>28.187464709203901</v>
      </c>
      <c r="BD259">
        <v>26.090212316095901</v>
      </c>
      <c r="BE259">
        <v>21.06899563318759</v>
      </c>
      <c r="BF259">
        <v>40.639427516158939</v>
      </c>
      <c r="BG259">
        <v>62.168649979482851</v>
      </c>
      <c r="BH259">
        <v>121.7380852975033</v>
      </c>
      <c r="BI259">
        <v>254.94853478181599</v>
      </c>
    </row>
    <row r="260" spans="1:69" x14ac:dyDescent="0.25">
      <c r="A260" t="s">
        <v>3528</v>
      </c>
      <c r="B260" t="s">
        <v>3529</v>
      </c>
      <c r="C260" t="s">
        <v>3023</v>
      </c>
      <c r="D260" t="s">
        <v>3024</v>
      </c>
    </row>
    <row r="261" spans="1:69" x14ac:dyDescent="0.25">
      <c r="A261" t="s">
        <v>3530</v>
      </c>
      <c r="B261" t="s">
        <v>3531</v>
      </c>
      <c r="C261" t="s">
        <v>3023</v>
      </c>
      <c r="D261" t="s">
        <v>3024</v>
      </c>
    </row>
    <row r="262" spans="1:69" x14ac:dyDescent="0.25">
      <c r="A262" t="s">
        <v>3532</v>
      </c>
      <c r="B262" t="s">
        <v>3533</v>
      </c>
      <c r="C262" t="s">
        <v>3023</v>
      </c>
      <c r="D262" t="s">
        <v>3024</v>
      </c>
      <c r="AO262">
        <v>5.6749999999999394</v>
      </c>
      <c r="AP262">
        <v>3.209526062613743</v>
      </c>
      <c r="AQ262">
        <v>7.2661980440096006</v>
      </c>
      <c r="AR262">
        <v>4.1171023577173562</v>
      </c>
      <c r="AS262">
        <v>-1.7103372785110871</v>
      </c>
      <c r="AT262">
        <v>-0.4315445117281802</v>
      </c>
      <c r="AU262">
        <v>3.8308283816846722</v>
      </c>
      <c r="AV262">
        <v>3.2346481729392691</v>
      </c>
      <c r="AW262">
        <v>7.7549474870960147</v>
      </c>
      <c r="AX262">
        <v>8.2845724312867741</v>
      </c>
      <c r="AY262">
        <v>7.41801715108463</v>
      </c>
      <c r="AZ262">
        <v>8.3444488977383671</v>
      </c>
      <c r="BA262">
        <v>23.115448347447739</v>
      </c>
      <c r="BB262">
        <v>6.71698269988629</v>
      </c>
      <c r="BC262">
        <v>9.2074664877841261</v>
      </c>
      <c r="BD262">
        <v>18.677732277070699</v>
      </c>
      <c r="BE262">
        <v>9.0947033955719192</v>
      </c>
      <c r="BF262">
        <v>6.5926747589919188</v>
      </c>
      <c r="BG262">
        <v>4.084554466376173</v>
      </c>
      <c r="BH262">
        <v>0.63120090517575445</v>
      </c>
      <c r="BI262">
        <v>2.668248169690822</v>
      </c>
      <c r="BJ262">
        <v>3.5202568881161742</v>
      </c>
      <c r="BK262">
        <v>3.5396280594264091</v>
      </c>
      <c r="BL262">
        <v>2.7958236745224969</v>
      </c>
      <c r="BM262">
        <v>3.2209343665251411</v>
      </c>
      <c r="BN262">
        <v>1.834715548104437</v>
      </c>
      <c r="BO262">
        <v>3.1565074996312932</v>
      </c>
      <c r="BP262">
        <v>3.2528928266766162</v>
      </c>
      <c r="BQ262">
        <v>3.6210927388584349</v>
      </c>
    </row>
    <row r="263" spans="1:69" x14ac:dyDescent="0.25">
      <c r="A263" t="s">
        <v>3534</v>
      </c>
      <c r="B263" t="s">
        <v>3535</v>
      </c>
      <c r="C263" t="s">
        <v>3023</v>
      </c>
      <c r="D263" t="s">
        <v>3024</v>
      </c>
      <c r="V263">
        <v>5.7365094798245861</v>
      </c>
      <c r="W263">
        <v>6.4137931034485014</v>
      </c>
      <c r="X263">
        <v>4.1693670339166697</v>
      </c>
      <c r="Y263">
        <v>11.240149315636399</v>
      </c>
      <c r="Z263">
        <v>26.845637583892788</v>
      </c>
      <c r="AA263">
        <v>6.672545561434478</v>
      </c>
      <c r="AB263">
        <v>1.653348029760316</v>
      </c>
      <c r="AC263">
        <v>5.5164001084303971</v>
      </c>
      <c r="AD263">
        <v>1.066152858060426</v>
      </c>
      <c r="AE263">
        <v>4.7661413319776296</v>
      </c>
      <c r="AF263">
        <v>16.039395005276191</v>
      </c>
      <c r="AG263">
        <v>8.7602303728400877</v>
      </c>
      <c r="AH263">
        <v>7.74804905239702</v>
      </c>
      <c r="AI263">
        <v>4.7594412829796982</v>
      </c>
      <c r="AJ263">
        <v>6.4691358024691397</v>
      </c>
      <c r="AK263">
        <v>4.0584415584416034</v>
      </c>
      <c r="AL263">
        <v>3.5658569199911558</v>
      </c>
      <c r="AM263">
        <v>2.302560791908685</v>
      </c>
      <c r="AN263">
        <v>2.2297013041648661</v>
      </c>
      <c r="AO263">
        <v>0.90634441087621942</v>
      </c>
      <c r="AP263">
        <v>2.8307022318997852</v>
      </c>
      <c r="AQ263">
        <v>3.282159872948633</v>
      </c>
      <c r="AR263">
        <v>1.998974884674519</v>
      </c>
      <c r="AS263">
        <v>2.5376884422110648</v>
      </c>
      <c r="AT263">
        <v>3.5775545209507391</v>
      </c>
      <c r="AU263">
        <v>1.963567541991954</v>
      </c>
      <c r="AV263">
        <v>3.016241299303942</v>
      </c>
      <c r="AW263">
        <v>1.418918918918926</v>
      </c>
      <c r="AX263">
        <v>1.19920053297801</v>
      </c>
      <c r="AY263">
        <v>2.0408163265306172</v>
      </c>
      <c r="AZ263">
        <v>3.9354838709677402</v>
      </c>
      <c r="BA263">
        <v>4.8417132216014949</v>
      </c>
      <c r="BB263">
        <v>4.2970657295535739</v>
      </c>
      <c r="BC263">
        <v>2.7626946947734758</v>
      </c>
      <c r="BD263">
        <v>0.87379310478109995</v>
      </c>
      <c r="BE263">
        <v>1.34740362877658</v>
      </c>
      <c r="BF263">
        <v>1.458933717579207</v>
      </c>
      <c r="BG263">
        <v>0.79886383809702277</v>
      </c>
      <c r="BH263">
        <v>2.4832687566043901</v>
      </c>
      <c r="BI263">
        <v>0.84206908403506087</v>
      </c>
      <c r="BJ263">
        <v>3.0845262440354602</v>
      </c>
      <c r="BK263">
        <v>2.3309637956686609</v>
      </c>
      <c r="BL263">
        <v>2.7625201938611101</v>
      </c>
      <c r="BM263">
        <v>5.3293507310171497</v>
      </c>
      <c r="BN263">
        <v>2.343283582089533</v>
      </c>
      <c r="BO263">
        <v>6.6793058188712129</v>
      </c>
      <c r="BP263">
        <v>11.182501708817471</v>
      </c>
    </row>
    <row r="264" spans="1:69" x14ac:dyDescent="0.25">
      <c r="A264" t="s">
        <v>3536</v>
      </c>
      <c r="B264" t="s">
        <v>3537</v>
      </c>
      <c r="C264" t="s">
        <v>3023</v>
      </c>
      <c r="D264" t="s">
        <v>3024</v>
      </c>
    </row>
    <row r="265" spans="1:69" x14ac:dyDescent="0.25">
      <c r="A265" t="s">
        <v>3538</v>
      </c>
      <c r="B265" t="s">
        <v>3539</v>
      </c>
      <c r="C265" t="s">
        <v>3023</v>
      </c>
      <c r="D265" t="s">
        <v>3024</v>
      </c>
      <c r="G265">
        <v>2.6548672566372389</v>
      </c>
      <c r="H265">
        <v>0.68965517241379315</v>
      </c>
      <c r="I265">
        <v>5.3082191780822852</v>
      </c>
      <c r="J265">
        <v>2.1138211382113168</v>
      </c>
      <c r="K265">
        <v>2.8662420382164608</v>
      </c>
      <c r="L265">
        <v>-0.5159958720326866</v>
      </c>
      <c r="M265">
        <v>1.7116182572612491</v>
      </c>
      <c r="N265">
        <v>4.1305456399796574</v>
      </c>
      <c r="O265">
        <v>2.7424094025460608</v>
      </c>
      <c r="P265">
        <v>4.7664442326029599</v>
      </c>
      <c r="Q265">
        <v>7.5068243858053387</v>
      </c>
      <c r="R265">
        <v>11.764242995986701</v>
      </c>
      <c r="S265">
        <v>24.987678659561261</v>
      </c>
      <c r="T265">
        <v>8.7877422263187466</v>
      </c>
      <c r="U265">
        <v>4.9036868269104641</v>
      </c>
      <c r="V265">
        <v>14.61079026594285</v>
      </c>
      <c r="W265">
        <v>2.0586588570208559</v>
      </c>
      <c r="X265">
        <v>11.11955099804967</v>
      </c>
      <c r="Y265">
        <v>33.047242898500052</v>
      </c>
      <c r="Z265">
        <v>20.506624447129411</v>
      </c>
      <c r="AA265">
        <v>18.296224589118651</v>
      </c>
      <c r="AB265">
        <v>16.460135608993319</v>
      </c>
      <c r="AC265">
        <v>11.860068259471531</v>
      </c>
      <c r="AD265">
        <v>9.0905011888749261</v>
      </c>
      <c r="AE265">
        <v>5.7335581790200463</v>
      </c>
      <c r="AF265">
        <v>4.566849496368282</v>
      </c>
      <c r="AG265">
        <v>8.5078680108630067</v>
      </c>
      <c r="AH265">
        <v>6.4625617114644447</v>
      </c>
      <c r="AI265">
        <v>15.23846327246954</v>
      </c>
      <c r="AJ265">
        <v>-1.8191979879839899</v>
      </c>
      <c r="AK265">
        <v>9.0311379290717202</v>
      </c>
      <c r="AL265">
        <v>1.7150912365886839</v>
      </c>
      <c r="AM265">
        <v>12.080381890976209</v>
      </c>
      <c r="AN265">
        <v>-2.9035286574614241</v>
      </c>
      <c r="AO265">
        <v>5.3746197203027801</v>
      </c>
      <c r="AP265">
        <v>6.861823553108767</v>
      </c>
      <c r="AQ265">
        <v>2.21883468834654</v>
      </c>
      <c r="AR265">
        <v>0.2651201325603551</v>
      </c>
      <c r="AS265">
        <v>0.96678235002472945</v>
      </c>
      <c r="AT265">
        <v>3.83828463867725</v>
      </c>
      <c r="AU265">
        <v>8.0503144654087038</v>
      </c>
      <c r="AV265">
        <v>0.1158301158301068</v>
      </c>
      <c r="AW265">
        <v>16.313150790590079</v>
      </c>
      <c r="AX265">
        <v>1.856763925729489</v>
      </c>
      <c r="AY265">
        <v>3.7000868055555318</v>
      </c>
      <c r="AZ265">
        <v>5.577063932196288</v>
      </c>
      <c r="BA265">
        <v>11.565906838453961</v>
      </c>
      <c r="BB265">
        <v>6.3249533623522822</v>
      </c>
      <c r="BC265">
        <v>0.77700726877769188</v>
      </c>
      <c r="BD265">
        <v>5.2354159147843422</v>
      </c>
      <c r="BE265">
        <v>2.0490188352116041</v>
      </c>
      <c r="BF265">
        <v>0.61008572090502999</v>
      </c>
      <c r="BG265">
        <v>-0.40681608842489048</v>
      </c>
      <c r="BH265">
        <v>0.72447013487472889</v>
      </c>
      <c r="BI265">
        <v>1.3047186930317931</v>
      </c>
      <c r="BJ265">
        <v>1.7498967748470511</v>
      </c>
      <c r="BK265">
        <v>4.1974588866375191</v>
      </c>
      <c r="BL265">
        <v>0.98232656988811695</v>
      </c>
      <c r="BM265">
        <v>-1.568912477408954</v>
      </c>
      <c r="BN265">
        <v>3.1332047317449399</v>
      </c>
      <c r="BO265">
        <v>10.96188222868439</v>
      </c>
      <c r="BP265">
        <v>7.9216468482677724</v>
      </c>
      <c r="BQ265">
        <v>2.1724553051437732</v>
      </c>
    </row>
    <row r="266" spans="1:69" x14ac:dyDescent="0.25">
      <c r="A266" t="s">
        <v>3540</v>
      </c>
      <c r="B266" t="s">
        <v>3541</v>
      </c>
      <c r="C266" t="s">
        <v>3023</v>
      </c>
      <c r="D266" t="s">
        <v>3024</v>
      </c>
      <c r="AV266">
        <v>-1.0848126232741351</v>
      </c>
      <c r="AW266">
        <v>-1.0647269660552541</v>
      </c>
      <c r="AX266">
        <v>-1.385189131592993</v>
      </c>
      <c r="AY266">
        <v>0.62164693860172793</v>
      </c>
      <c r="AZ266">
        <v>4.3584969532836908</v>
      </c>
      <c r="BA266">
        <v>9.3504176465817785</v>
      </c>
      <c r="BB266">
        <v>-2.410264016612286</v>
      </c>
      <c r="BC266">
        <v>3.4805076373584241</v>
      </c>
      <c r="BD266">
        <v>7.3364177131527004</v>
      </c>
      <c r="BE266">
        <v>2.4767378215653291</v>
      </c>
      <c r="BF266">
        <v>1.767324283548916</v>
      </c>
      <c r="BG266">
        <v>0.42895780832409208</v>
      </c>
      <c r="BH266">
        <v>-0.53692939274065921</v>
      </c>
      <c r="BI266">
        <v>0.27316943104546809</v>
      </c>
      <c r="BJ266">
        <v>1.4882343059231931</v>
      </c>
      <c r="BK266">
        <v>1.0537977365499149</v>
      </c>
      <c r="BL266">
        <v>2.6759920263989332</v>
      </c>
      <c r="BM266">
        <v>0.19822792299485439</v>
      </c>
      <c r="BN266">
        <v>3.3536913920799711</v>
      </c>
      <c r="BO266">
        <v>11.580510454201249</v>
      </c>
      <c r="BP266">
        <v>4.9443243879128262</v>
      </c>
      <c r="BQ266">
        <v>1.619449945594762</v>
      </c>
    </row>
    <row r="267" spans="1:69" x14ac:dyDescent="0.25">
      <c r="A267" t="s">
        <v>3542</v>
      </c>
      <c r="B267" t="s">
        <v>3543</v>
      </c>
      <c r="C267" t="s">
        <v>3023</v>
      </c>
      <c r="D267" t="s">
        <v>3024</v>
      </c>
      <c r="AJ267">
        <v>35.99999999999995</v>
      </c>
      <c r="AK267">
        <v>29.411764705882359</v>
      </c>
      <c r="AL267">
        <v>35.752298016449082</v>
      </c>
      <c r="AM267">
        <v>49.394155381325383</v>
      </c>
      <c r="AN267">
        <v>55.081106870229242</v>
      </c>
      <c r="AO267">
        <v>30.733733271804301</v>
      </c>
      <c r="AP267">
        <v>2.1767266737264581</v>
      </c>
      <c r="AQ267">
        <v>5.9765085214186033</v>
      </c>
      <c r="AR267">
        <v>8.6602194936434582</v>
      </c>
      <c r="AS267">
        <v>4.5899999999998116</v>
      </c>
      <c r="AT267">
        <v>11.9115912929855</v>
      </c>
      <c r="AU267">
        <v>12.2385339389711</v>
      </c>
      <c r="AV267">
        <v>10.83236070232415</v>
      </c>
      <c r="AW267">
        <v>12.515095149520739</v>
      </c>
      <c r="AX267">
        <v>11.811263937494889</v>
      </c>
      <c r="AY267">
        <v>10.84479869142567</v>
      </c>
      <c r="AZ267">
        <v>7.9051177898873037</v>
      </c>
      <c r="BA267">
        <v>18.97625743180765</v>
      </c>
      <c r="BB267">
        <v>5.4077609807752172</v>
      </c>
      <c r="BC267">
        <v>11.17483386050437</v>
      </c>
      <c r="BD267">
        <v>19.5435617131144</v>
      </c>
      <c r="BE267">
        <v>9.8853871448487141</v>
      </c>
      <c r="BF267">
        <v>10.968442150019801</v>
      </c>
      <c r="BG267">
        <v>8.1047258362391492</v>
      </c>
    </row>
    <row r="268" spans="1:69" x14ac:dyDescent="0.25">
      <c r="A268" t="s">
        <v>3544</v>
      </c>
      <c r="B268" t="s">
        <v>3545</v>
      </c>
      <c r="C268" t="s">
        <v>3023</v>
      </c>
      <c r="D268" t="s">
        <v>3024</v>
      </c>
      <c r="E268">
        <v>1.2888769268799189</v>
      </c>
      <c r="F268">
        <v>2.1023505995597822</v>
      </c>
      <c r="G268">
        <v>1.2462751996549459</v>
      </c>
      <c r="H268">
        <v>1.3379706449069251</v>
      </c>
      <c r="I268">
        <v>2.5349885423489811</v>
      </c>
      <c r="J268">
        <v>4.0690185329458393</v>
      </c>
      <c r="K268">
        <v>3.4892371538517479</v>
      </c>
      <c r="L268">
        <v>3.5389658023623318</v>
      </c>
      <c r="M268">
        <v>1.98613362103222</v>
      </c>
      <c r="N268">
        <v>3.2382172158566682</v>
      </c>
      <c r="O268">
        <v>4.9919245543561708</v>
      </c>
      <c r="P268">
        <v>5.9574208521348586</v>
      </c>
      <c r="Q268">
        <v>6.4256763887917518</v>
      </c>
      <c r="R268">
        <v>9.4339837697839393</v>
      </c>
      <c r="S268">
        <v>11.7241315190611</v>
      </c>
      <c r="T268">
        <v>13.42592485303755</v>
      </c>
      <c r="U268">
        <v>11.02041058924515</v>
      </c>
      <c r="V268">
        <v>11.15195783193</v>
      </c>
      <c r="W268">
        <v>11.13560888295652</v>
      </c>
      <c r="X268">
        <v>13.29366246280588</v>
      </c>
      <c r="Y268">
        <v>13.66024046811153</v>
      </c>
      <c r="Z268">
        <v>15.254233767419381</v>
      </c>
      <c r="AA268">
        <v>14.639040585312779</v>
      </c>
      <c r="AB268">
        <v>12.30320530060059</v>
      </c>
      <c r="AC268">
        <v>11.52648143449604</v>
      </c>
      <c r="AD268">
        <v>16.294225242642121</v>
      </c>
      <c r="AE268">
        <v>18.654923038875481</v>
      </c>
      <c r="AF268">
        <v>16.160594854679118</v>
      </c>
      <c r="AG268">
        <v>12.77955308302802</v>
      </c>
      <c r="AH268">
        <v>14.73087539823813</v>
      </c>
      <c r="AI268">
        <v>14.320991891491481</v>
      </c>
      <c r="AJ268">
        <v>15.33477857336716</v>
      </c>
      <c r="AK268">
        <v>13.874703748614991</v>
      </c>
      <c r="AL268">
        <v>9.717427298030282</v>
      </c>
      <c r="AM268">
        <v>8.9385637235939992</v>
      </c>
      <c r="AN268">
        <v>8.6804242139263117</v>
      </c>
      <c r="AO268">
        <v>7.3541197208533262</v>
      </c>
      <c r="AP268">
        <v>8.5977761125227392</v>
      </c>
      <c r="AQ268">
        <v>6.8805452103735076</v>
      </c>
      <c r="AR268">
        <v>5.1814890511169738</v>
      </c>
      <c r="AS268">
        <v>5.3389591359982784</v>
      </c>
      <c r="AT268">
        <v>5.701894830496081</v>
      </c>
      <c r="AU268">
        <v>9.4947137809960029</v>
      </c>
      <c r="AV268">
        <v>5.6794241406879937</v>
      </c>
      <c r="AW268">
        <v>-0.69203943785768673</v>
      </c>
      <c r="AX268">
        <v>2.0628530822342732</v>
      </c>
      <c r="AY268">
        <v>3.2439076541922951</v>
      </c>
      <c r="AZ268">
        <v>6.1778121480938788</v>
      </c>
      <c r="BA268">
        <v>9.9099845600546672</v>
      </c>
      <c r="BB268">
        <v>7.2380952380952692</v>
      </c>
      <c r="BC268">
        <v>4.0674955595026336</v>
      </c>
      <c r="BD268">
        <v>5.0008533879502002</v>
      </c>
      <c r="BE268">
        <v>5.73797139141739</v>
      </c>
      <c r="BF268">
        <v>5.780169100691757</v>
      </c>
      <c r="BG268">
        <v>6.1328295305914908</v>
      </c>
      <c r="BH268">
        <v>4.5186909489250606</v>
      </c>
      <c r="BI268">
        <v>6.6029084239487172</v>
      </c>
      <c r="BJ268">
        <v>5.186186555241493</v>
      </c>
      <c r="BK268">
        <v>4.5098726486738752</v>
      </c>
      <c r="BL268">
        <v>4.1028507546115582</v>
      </c>
      <c r="BM268">
        <v>3.2323883161511349</v>
      </c>
      <c r="BN268">
        <v>4.6187454488713602</v>
      </c>
      <c r="BO268">
        <v>7.0398727254648179</v>
      </c>
      <c r="BP268">
        <v>6.0752438457965967</v>
      </c>
      <c r="BQ268">
        <v>4.3611524651896207</v>
      </c>
    </row>
    <row r="269" spans="1:69" x14ac:dyDescent="0.25">
      <c r="A269" t="s">
        <v>3546</v>
      </c>
      <c r="B269" t="s">
        <v>3547</v>
      </c>
      <c r="C269" t="s">
        <v>3023</v>
      </c>
      <c r="D269" t="s">
        <v>3024</v>
      </c>
      <c r="AE269">
        <v>55.828220858896607</v>
      </c>
      <c r="AF269">
        <v>47.047244094487638</v>
      </c>
      <c r="AG269">
        <v>51.004016064257378</v>
      </c>
      <c r="AH269">
        <v>123.4042553191498</v>
      </c>
      <c r="AI269">
        <v>107.0238095238085</v>
      </c>
      <c r="AJ269">
        <v>97.642323174238342</v>
      </c>
      <c r="AK269">
        <v>165.7065270099896</v>
      </c>
      <c r="AL269">
        <v>183.31204146439339</v>
      </c>
      <c r="AM269">
        <v>54.601321841301612</v>
      </c>
      <c r="AN269">
        <v>34.929587416666699</v>
      </c>
      <c r="AO269">
        <v>43.073097998288191</v>
      </c>
      <c r="AP269">
        <v>24.41872156894123</v>
      </c>
      <c r="AQ269">
        <v>24.4584563516656</v>
      </c>
      <c r="AR269">
        <v>26.78769667900287</v>
      </c>
      <c r="AS269">
        <v>26.030411788812138</v>
      </c>
      <c r="AT269">
        <v>21.393782179254579</v>
      </c>
      <c r="AU269">
        <v>22.233344643094689</v>
      </c>
      <c r="AV269">
        <v>21.401578390199521</v>
      </c>
      <c r="AW269">
        <v>17.96778910872861</v>
      </c>
      <c r="AX269">
        <v>18.32443970117399</v>
      </c>
      <c r="AY269">
        <v>9.0195724722648585</v>
      </c>
      <c r="AZ269">
        <v>10.657349600015291</v>
      </c>
      <c r="BA269">
        <v>12.44557934631924</v>
      </c>
      <c r="BB269">
        <v>13.39525463258952</v>
      </c>
      <c r="BC269">
        <v>8.501761333652647</v>
      </c>
      <c r="BD269">
        <v>6.4293968107234001</v>
      </c>
      <c r="BE269">
        <v>6.5758997075769763</v>
      </c>
      <c r="BF269">
        <v>6.977676054903073</v>
      </c>
      <c r="BG269">
        <v>7.8068755356633259</v>
      </c>
      <c r="BH269">
        <v>10.110592890961771</v>
      </c>
      <c r="BI269">
        <v>17.869730079526772</v>
      </c>
      <c r="BJ269">
        <v>6.5773115420564441</v>
      </c>
      <c r="BK269">
        <v>7.4945719272852012</v>
      </c>
      <c r="BL269">
        <v>9.1503164431629553</v>
      </c>
      <c r="BM269">
        <v>15.73306047213692</v>
      </c>
      <c r="BN269">
        <v>22.020767624577651</v>
      </c>
      <c r="BO269">
        <v>10.99320392091359</v>
      </c>
      <c r="BP269">
        <v>10.88453169128201</v>
      </c>
      <c r="BQ269">
        <v>14.9856262747939</v>
      </c>
    </row>
    <row r="270" spans="1:69" x14ac:dyDescent="0.25">
      <c r="A270" t="s">
        <v>3548</v>
      </c>
      <c r="B270" t="s">
        <v>3549</v>
      </c>
      <c r="C270" t="s">
        <v>3023</v>
      </c>
      <c r="D270" t="s">
        <v>3024</v>
      </c>
      <c r="BC270">
        <v>3.0226700251889169</v>
      </c>
      <c r="BD270">
        <v>3.4661297281748999</v>
      </c>
      <c r="BE270">
        <v>3.7253266611064628</v>
      </c>
      <c r="BF270">
        <v>1.6349504154382191</v>
      </c>
      <c r="BG270">
        <v>-0.19778481012660989</v>
      </c>
      <c r="BH270">
        <v>-2.430968423834039</v>
      </c>
      <c r="BI270">
        <v>-1.54366960054161</v>
      </c>
      <c r="BJ270">
        <v>0.89396231605002741</v>
      </c>
      <c r="BK270">
        <v>10.61886586695751</v>
      </c>
      <c r="BL270">
        <v>255.30499075785571</v>
      </c>
      <c r="BM270">
        <v>557.20181736205075</v>
      </c>
      <c r="BN270">
        <v>98.546105092062376</v>
      </c>
      <c r="BO270">
        <v>104.7051706286672</v>
      </c>
    </row>
  </sheetData>
  <pageMargins left="0.7" right="0.7" top="0.75" bottom="0.75" header="0.3" footer="0.3"/>
  <ignoredErrors>
    <ignoredError sqref="E4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E2AA-BF43-4F58-80C3-9F66C65B7D9D}">
  <dimension ref="A1:L158"/>
  <sheetViews>
    <sheetView workbookViewId="0">
      <selection activeCell="I166" sqref="I166"/>
    </sheetView>
  </sheetViews>
  <sheetFormatPr defaultRowHeight="15" x14ac:dyDescent="0.25"/>
  <cols>
    <col min="1" max="1" width="30" bestFit="1" customWidth="1"/>
    <col min="2" max="2" width="22.42578125" bestFit="1" customWidth="1"/>
    <col min="3" max="3" width="14.140625" bestFit="1" customWidth="1"/>
    <col min="4" max="4" width="30.140625" bestFit="1" customWidth="1"/>
    <col min="5" max="5" width="28.7109375" bestFit="1" customWidth="1"/>
    <col min="6" max="6" width="24.28515625" style="78" bestFit="1" customWidth="1"/>
    <col min="7" max="7" width="34.85546875" bestFit="1" customWidth="1"/>
    <col min="8" max="8" width="29.85546875" bestFit="1" customWidth="1"/>
    <col min="9" max="9" width="25.42578125" bestFit="1" customWidth="1"/>
    <col min="10" max="11" width="8.42578125" customWidth="1"/>
  </cols>
  <sheetData>
    <row r="1" spans="1:12" ht="28.5" customHeight="1" x14ac:dyDescent="0.25">
      <c r="A1" s="93" t="s">
        <v>10</v>
      </c>
      <c r="B1" s="94" t="s">
        <v>3551</v>
      </c>
      <c r="C1" s="95" t="s">
        <v>3552</v>
      </c>
      <c r="D1" s="96" t="s">
        <v>3553</v>
      </c>
      <c r="E1" s="96" t="s">
        <v>3554</v>
      </c>
      <c r="F1" s="155" t="s">
        <v>2936</v>
      </c>
      <c r="G1" s="157" t="s">
        <v>3555</v>
      </c>
      <c r="H1" s="152"/>
      <c r="I1" s="152"/>
      <c r="J1" s="97"/>
      <c r="K1" s="98"/>
      <c r="L1" s="98"/>
    </row>
    <row r="2" spans="1:12" x14ac:dyDescent="0.25">
      <c r="A2" s="99" t="s">
        <v>3575</v>
      </c>
      <c r="B2" s="100" t="s">
        <v>3576</v>
      </c>
      <c r="C2" s="101" t="s">
        <v>3560</v>
      </c>
      <c r="D2" s="102">
        <v>4.195048511608233E-3</v>
      </c>
      <c r="E2" s="102">
        <v>4.8690645163649598E-2</v>
      </c>
      <c r="F2" s="156">
        <v>6.3906451636495986E-3</v>
      </c>
      <c r="G2" s="158">
        <v>4.5999999999999999E-3</v>
      </c>
      <c r="H2" s="153"/>
      <c r="I2" s="153"/>
      <c r="J2" s="103"/>
      <c r="K2" s="103"/>
      <c r="L2" s="104"/>
    </row>
    <row r="3" spans="1:12" x14ac:dyDescent="0.25">
      <c r="A3" s="99" t="s">
        <v>3033</v>
      </c>
      <c r="B3" s="100" t="s">
        <v>3577</v>
      </c>
      <c r="C3" s="101" t="s">
        <v>3568</v>
      </c>
      <c r="D3" s="102">
        <v>3.0563924870288552E-2</v>
      </c>
      <c r="E3" s="102">
        <v>8.8860414763732784E-2</v>
      </c>
      <c r="F3" s="156">
        <v>4.6560414763732787E-2</v>
      </c>
      <c r="G3" s="158" t="s">
        <v>3578</v>
      </c>
      <c r="H3" s="153"/>
      <c r="I3" s="153"/>
      <c r="J3" s="105"/>
      <c r="K3" s="106"/>
      <c r="L3" s="104"/>
    </row>
    <row r="4" spans="1:12" x14ac:dyDescent="0.25">
      <c r="A4" s="99" t="s">
        <v>3579</v>
      </c>
      <c r="B4" s="100" t="s">
        <v>3580</v>
      </c>
      <c r="C4" s="101" t="s">
        <v>3569</v>
      </c>
      <c r="D4" s="102">
        <v>1.3583966609017133E-2</v>
      </c>
      <c r="E4" s="102">
        <v>6.2993517672770116E-2</v>
      </c>
      <c r="F4" s="156">
        <v>2.0693517672770126E-2</v>
      </c>
      <c r="G4" s="158" t="s">
        <v>3578</v>
      </c>
      <c r="H4" s="153"/>
      <c r="I4" s="153"/>
      <c r="J4" s="105"/>
      <c r="K4" s="106"/>
      <c r="L4" s="104"/>
    </row>
    <row r="5" spans="1:12" x14ac:dyDescent="0.25">
      <c r="A5" s="99" t="s">
        <v>3031</v>
      </c>
      <c r="B5" s="100" t="s">
        <v>3551</v>
      </c>
      <c r="C5" s="101" t="s">
        <v>3565</v>
      </c>
      <c r="D5" s="102">
        <v>5.523480540284173E-2</v>
      </c>
      <c r="E5" s="102">
        <v>0.12644349465471971</v>
      </c>
      <c r="F5" s="156">
        <v>8.4143494654719708E-2</v>
      </c>
      <c r="G5" s="158">
        <v>6.0999999999999999E-2</v>
      </c>
      <c r="H5" s="153"/>
      <c r="I5" s="153"/>
      <c r="J5" s="105"/>
      <c r="K5" s="106"/>
      <c r="L5" s="104"/>
    </row>
    <row r="6" spans="1:12" x14ac:dyDescent="0.25">
      <c r="A6" s="99" t="s">
        <v>3041</v>
      </c>
      <c r="B6" s="100" t="s">
        <v>3581</v>
      </c>
      <c r="C6" s="101" t="s">
        <v>3582</v>
      </c>
      <c r="D6" s="102">
        <v>6.3724784533477435E-2</v>
      </c>
      <c r="E6" s="102">
        <v>0.13937694320020103</v>
      </c>
      <c r="F6" s="156">
        <v>9.7076943200201035E-2</v>
      </c>
      <c r="G6" s="158" t="s">
        <v>3578</v>
      </c>
      <c r="H6" s="153"/>
      <c r="I6" s="153"/>
      <c r="J6" s="105"/>
      <c r="K6" s="106"/>
      <c r="L6" s="104"/>
    </row>
    <row r="7" spans="1:12" x14ac:dyDescent="0.25">
      <c r="A7" s="99" t="s">
        <v>3043</v>
      </c>
      <c r="B7" s="100" t="s">
        <v>3577</v>
      </c>
      <c r="C7" s="101" t="s">
        <v>3568</v>
      </c>
      <c r="D7" s="102">
        <v>3.0563924870288552E-2</v>
      </c>
      <c r="E7" s="102">
        <v>8.8860414763732784E-2</v>
      </c>
      <c r="F7" s="156">
        <v>4.6560414763732787E-2</v>
      </c>
      <c r="G7" s="158" t="s">
        <v>3578</v>
      </c>
      <c r="H7" s="153"/>
      <c r="I7" s="153"/>
      <c r="J7" s="105"/>
      <c r="K7" s="106"/>
      <c r="L7" s="104"/>
    </row>
    <row r="8" spans="1:12" x14ac:dyDescent="0.25">
      <c r="A8" s="99" t="s">
        <v>3021</v>
      </c>
      <c r="B8" s="100" t="s">
        <v>3583</v>
      </c>
      <c r="C8" s="101" t="s">
        <v>3571</v>
      </c>
      <c r="D8" s="102">
        <v>1.8677954087398564E-2</v>
      </c>
      <c r="E8" s="102">
        <v>7.0753586800058929E-2</v>
      </c>
      <c r="F8" s="156">
        <v>2.8453586800058932E-2</v>
      </c>
      <c r="G8" s="158" t="s">
        <v>3578</v>
      </c>
      <c r="H8" s="153"/>
      <c r="I8" s="153"/>
      <c r="J8" s="105"/>
      <c r="K8" s="106"/>
      <c r="L8" s="104"/>
    </row>
    <row r="9" spans="1:12" x14ac:dyDescent="0.25">
      <c r="A9" s="99" t="s">
        <v>3049</v>
      </c>
      <c r="B9" s="100" t="s">
        <v>3584</v>
      </c>
      <c r="C9" s="101" t="s">
        <v>3562</v>
      </c>
      <c r="D9" s="102">
        <v>0</v>
      </c>
      <c r="E9" s="102">
        <v>4.2299999999999997E-2</v>
      </c>
      <c r="F9" s="156">
        <v>0</v>
      </c>
      <c r="G9" s="158">
        <v>5.0000000000000001E-4</v>
      </c>
      <c r="H9" s="153"/>
      <c r="I9" s="153"/>
      <c r="J9" s="105"/>
      <c r="K9" s="106"/>
      <c r="L9" s="104"/>
    </row>
    <row r="10" spans="1:12" x14ac:dyDescent="0.25">
      <c r="A10" s="99" t="s">
        <v>3051</v>
      </c>
      <c r="B10" s="100" t="s">
        <v>3580</v>
      </c>
      <c r="C10" s="101" t="s">
        <v>3559</v>
      </c>
      <c r="D10" s="102">
        <v>2.3336791699920191E-3</v>
      </c>
      <c r="E10" s="102">
        <v>4.5855075813772149E-2</v>
      </c>
      <c r="F10" s="156">
        <v>3.5550758137721547E-3</v>
      </c>
      <c r="G10" s="158">
        <v>1.4E-3</v>
      </c>
      <c r="H10" s="153"/>
      <c r="I10" s="153"/>
      <c r="J10" s="105"/>
      <c r="K10" s="106"/>
      <c r="L10" s="104"/>
    </row>
    <row r="11" spans="1:12" x14ac:dyDescent="0.25">
      <c r="A11" s="99" t="s">
        <v>3053</v>
      </c>
      <c r="B11" s="100" t="s">
        <v>3577</v>
      </c>
      <c r="C11" s="101" t="s">
        <v>3571</v>
      </c>
      <c r="D11" s="102">
        <v>1.8677954087398564E-2</v>
      </c>
      <c r="E11" s="102">
        <v>7.0753586800058929E-2</v>
      </c>
      <c r="F11" s="156">
        <v>2.8453586800058932E-2</v>
      </c>
      <c r="G11" s="158" t="s">
        <v>3578</v>
      </c>
      <c r="H11" s="153"/>
      <c r="I11" s="153"/>
      <c r="J11" s="105"/>
      <c r="K11" s="106"/>
      <c r="L11" s="104"/>
    </row>
    <row r="12" spans="1:12" x14ac:dyDescent="0.25">
      <c r="A12" s="99" t="s">
        <v>3585</v>
      </c>
      <c r="B12" s="100" t="s">
        <v>3583</v>
      </c>
      <c r="C12" s="101" t="s">
        <v>3563</v>
      </c>
      <c r="D12" s="102">
        <v>3.8254847141570306E-2</v>
      </c>
      <c r="E12" s="102">
        <v>0.10057659756375703</v>
      </c>
      <c r="F12" s="156">
        <v>5.827659756375704E-2</v>
      </c>
      <c r="G12" s="158" t="s">
        <v>3578</v>
      </c>
      <c r="H12" s="153"/>
      <c r="I12" s="153"/>
      <c r="J12" s="105"/>
      <c r="K12" s="106"/>
      <c r="L12" s="104"/>
    </row>
    <row r="13" spans="1:12" x14ac:dyDescent="0.25">
      <c r="A13" s="99" t="s">
        <v>3067</v>
      </c>
      <c r="B13" s="100" t="s">
        <v>3576</v>
      </c>
      <c r="C13" s="101" t="s">
        <v>3564</v>
      </c>
      <c r="D13" s="102">
        <v>4.6744826272206025E-2</v>
      </c>
      <c r="E13" s="102">
        <v>0.11351004610923837</v>
      </c>
      <c r="F13" s="156">
        <v>7.1210046109238381E-2</v>
      </c>
      <c r="G13" s="158">
        <v>2.3300000000000001E-2</v>
      </c>
      <c r="H13" s="153"/>
      <c r="I13" s="153"/>
      <c r="J13" s="105"/>
      <c r="K13" s="106"/>
      <c r="L13" s="104"/>
    </row>
    <row r="14" spans="1:12" x14ac:dyDescent="0.25">
      <c r="A14" s="99" t="s">
        <v>3063</v>
      </c>
      <c r="B14" s="100" t="s">
        <v>3586</v>
      </c>
      <c r="C14" s="101" t="s">
        <v>3564</v>
      </c>
      <c r="D14" s="102">
        <v>4.6744826272206025E-2</v>
      </c>
      <c r="E14" s="102">
        <v>0.11351004610923837</v>
      </c>
      <c r="F14" s="156">
        <v>7.1210046109238381E-2</v>
      </c>
      <c r="G14" s="158" t="s">
        <v>3578</v>
      </c>
      <c r="H14" s="153"/>
      <c r="I14" s="153"/>
      <c r="J14" s="105"/>
      <c r="K14" s="106"/>
      <c r="L14" s="104"/>
    </row>
    <row r="15" spans="1:12" x14ac:dyDescent="0.25">
      <c r="A15" s="99" t="s">
        <v>3083</v>
      </c>
      <c r="B15" s="100" t="s">
        <v>3583</v>
      </c>
      <c r="C15" s="101" t="s">
        <v>3564</v>
      </c>
      <c r="D15" s="102">
        <v>4.6744826272206025E-2</v>
      </c>
      <c r="E15" s="102">
        <v>0.11351004610923837</v>
      </c>
      <c r="F15" s="156">
        <v>7.1210046109238381E-2</v>
      </c>
      <c r="G15" s="158" t="s">
        <v>3578</v>
      </c>
      <c r="H15" s="153"/>
      <c r="I15" s="153"/>
      <c r="J15" s="105"/>
      <c r="K15" s="106"/>
      <c r="L15" s="104"/>
    </row>
    <row r="16" spans="1:12" x14ac:dyDescent="0.25">
      <c r="A16" s="99" t="s">
        <v>3073</v>
      </c>
      <c r="B16" s="100" t="s">
        <v>3577</v>
      </c>
      <c r="C16" s="101" t="s">
        <v>3572</v>
      </c>
      <c r="D16" s="102">
        <v>0.17499999999999999</v>
      </c>
      <c r="E16" s="102">
        <v>0.30889117303269015</v>
      </c>
      <c r="F16" s="156">
        <v>0.26659117303269014</v>
      </c>
      <c r="G16" s="158" t="s">
        <v>3578</v>
      </c>
      <c r="H16" s="153"/>
      <c r="I16" s="153"/>
      <c r="J16" s="105"/>
      <c r="K16" s="106"/>
      <c r="L16" s="104"/>
    </row>
    <row r="17" spans="1:12" x14ac:dyDescent="0.25">
      <c r="A17" s="99" t="s">
        <v>3057</v>
      </c>
      <c r="B17" s="100" t="s">
        <v>3580</v>
      </c>
      <c r="C17" s="101" t="s">
        <v>3561</v>
      </c>
      <c r="D17" s="102">
        <v>5.093987478381426E-3</v>
      </c>
      <c r="E17" s="102">
        <v>5.0060069127288796E-2</v>
      </c>
      <c r="F17" s="156">
        <v>7.7600691272887981E-3</v>
      </c>
      <c r="G17" s="158">
        <v>2.5999999999999999E-3</v>
      </c>
      <c r="H17" s="153"/>
      <c r="I17" s="153"/>
      <c r="J17" s="105"/>
      <c r="K17" s="106"/>
      <c r="L17" s="104"/>
    </row>
    <row r="18" spans="1:12" x14ac:dyDescent="0.25">
      <c r="A18" s="99" t="s">
        <v>3075</v>
      </c>
      <c r="B18" s="100" t="s">
        <v>3581</v>
      </c>
      <c r="C18" s="101" t="s">
        <v>3582</v>
      </c>
      <c r="D18" s="102">
        <v>6.3724784533477435E-2</v>
      </c>
      <c r="E18" s="102">
        <v>0.13937694320020103</v>
      </c>
      <c r="F18" s="156">
        <v>9.7076943200201035E-2</v>
      </c>
      <c r="G18" s="158" t="s">
        <v>3578</v>
      </c>
      <c r="H18" s="153"/>
      <c r="I18" s="153"/>
      <c r="J18" s="105"/>
      <c r="K18" s="106"/>
      <c r="L18" s="104"/>
    </row>
    <row r="19" spans="1:12" x14ac:dyDescent="0.25">
      <c r="A19" s="99" t="s">
        <v>3059</v>
      </c>
      <c r="B19" s="100" t="s">
        <v>3551</v>
      </c>
      <c r="C19" s="101" t="s">
        <v>3563</v>
      </c>
      <c r="D19" s="102">
        <v>3.8254847141570306E-2</v>
      </c>
      <c r="E19" s="102">
        <v>0.10057659756375703</v>
      </c>
      <c r="F19" s="156">
        <v>5.827659756375704E-2</v>
      </c>
      <c r="G19" s="158" t="s">
        <v>3578</v>
      </c>
      <c r="H19" s="153"/>
      <c r="I19" s="153"/>
      <c r="J19" s="105"/>
      <c r="K19" s="106"/>
      <c r="L19" s="104"/>
    </row>
    <row r="20" spans="1:12" x14ac:dyDescent="0.25">
      <c r="A20" s="99" t="s">
        <v>3077</v>
      </c>
      <c r="B20" s="100" t="s">
        <v>3583</v>
      </c>
      <c r="C20" s="101" t="s">
        <v>3557</v>
      </c>
      <c r="D20" s="102">
        <v>7.1915117341855425E-3</v>
      </c>
      <c r="E20" s="102">
        <v>5.3255391709113593E-2</v>
      </c>
      <c r="F20" s="156">
        <v>1.0955391709113598E-2</v>
      </c>
      <c r="G20" s="158" t="s">
        <v>3578</v>
      </c>
      <c r="H20" s="153"/>
      <c r="I20" s="153"/>
      <c r="J20" s="105"/>
      <c r="K20" s="106"/>
      <c r="L20" s="104"/>
    </row>
    <row r="21" spans="1:12" x14ac:dyDescent="0.25">
      <c r="A21" s="99" t="s">
        <v>3079</v>
      </c>
      <c r="B21" s="100" t="s">
        <v>3581</v>
      </c>
      <c r="C21" s="101" t="s">
        <v>3573</v>
      </c>
      <c r="D21" s="102">
        <v>0.10197963167504777</v>
      </c>
      <c r="E21" s="102">
        <v>0.19765354076395811</v>
      </c>
      <c r="F21" s="156">
        <v>0.1553535407639581</v>
      </c>
      <c r="G21" s="158" t="s">
        <v>3578</v>
      </c>
      <c r="H21" s="153"/>
      <c r="I21" s="153"/>
      <c r="J21" s="105"/>
      <c r="K21" s="106"/>
      <c r="L21" s="104"/>
    </row>
    <row r="22" spans="1:12" x14ac:dyDescent="0.25">
      <c r="A22" s="99" t="s">
        <v>3071</v>
      </c>
      <c r="B22" s="100" t="s">
        <v>3577</v>
      </c>
      <c r="C22" s="101" t="s">
        <v>3565</v>
      </c>
      <c r="D22" s="102">
        <v>5.523480540284173E-2</v>
      </c>
      <c r="E22" s="102">
        <v>0.12644349465471971</v>
      </c>
      <c r="F22" s="156">
        <v>8.4143494654719708E-2</v>
      </c>
      <c r="G22" s="158" t="s">
        <v>3578</v>
      </c>
      <c r="H22" s="153"/>
      <c r="I22" s="153"/>
      <c r="J22" s="105"/>
      <c r="K22" s="106"/>
      <c r="L22" s="104"/>
    </row>
    <row r="23" spans="1:12" x14ac:dyDescent="0.25">
      <c r="A23" s="99" t="s">
        <v>3089</v>
      </c>
      <c r="B23" s="100" t="s">
        <v>3551</v>
      </c>
      <c r="C23" s="101" t="s">
        <v>3569</v>
      </c>
      <c r="D23" s="102">
        <v>1.3583966609017133E-2</v>
      </c>
      <c r="E23" s="102">
        <v>6.2993517672770116E-2</v>
      </c>
      <c r="F23" s="156">
        <v>2.0693517672770126E-2</v>
      </c>
      <c r="G23" s="158" t="s">
        <v>3578</v>
      </c>
      <c r="H23" s="153"/>
      <c r="I23" s="153"/>
      <c r="J23" s="105"/>
      <c r="K23" s="106"/>
      <c r="L23" s="104"/>
    </row>
    <row r="24" spans="1:12" x14ac:dyDescent="0.25">
      <c r="A24" s="99" t="s">
        <v>3081</v>
      </c>
      <c r="B24" s="100" t="s">
        <v>3581</v>
      </c>
      <c r="C24" s="101" t="s">
        <v>3566</v>
      </c>
      <c r="D24" s="102">
        <v>2.1274888880298898E-2</v>
      </c>
      <c r="E24" s="102">
        <v>7.4709700472794391E-2</v>
      </c>
      <c r="F24" s="156">
        <v>3.2409700472794394E-2</v>
      </c>
      <c r="G24" s="158">
        <v>2.2100000000000002E-2</v>
      </c>
      <c r="H24" s="153"/>
      <c r="I24" s="153"/>
      <c r="J24" s="105"/>
      <c r="K24" s="107"/>
      <c r="L24" s="104"/>
    </row>
    <row r="25" spans="1:12" x14ac:dyDescent="0.25">
      <c r="A25" s="99" t="s">
        <v>3065</v>
      </c>
      <c r="B25" s="100" t="s">
        <v>3577</v>
      </c>
      <c r="C25" s="101" t="s">
        <v>3569</v>
      </c>
      <c r="D25" s="102">
        <v>1.3583966609017133E-2</v>
      </c>
      <c r="E25" s="102">
        <v>6.2993517672770116E-2</v>
      </c>
      <c r="F25" s="156">
        <v>2.0693517672770126E-2</v>
      </c>
      <c r="G25" s="158">
        <v>6.3E-3</v>
      </c>
      <c r="H25" s="153"/>
      <c r="I25" s="153"/>
      <c r="J25" s="104"/>
      <c r="K25" s="104"/>
      <c r="L25" s="104"/>
    </row>
    <row r="26" spans="1:12" x14ac:dyDescent="0.25">
      <c r="A26" s="99" t="s">
        <v>3061</v>
      </c>
      <c r="B26" s="100" t="s">
        <v>3551</v>
      </c>
      <c r="C26" s="101" t="s">
        <v>3582</v>
      </c>
      <c r="D26" s="102">
        <v>6.3724784533477435E-2</v>
      </c>
      <c r="E26" s="102">
        <v>0.13937694320020103</v>
      </c>
      <c r="F26" s="156">
        <v>9.7076943200201035E-2</v>
      </c>
      <c r="G26" s="158" t="s">
        <v>3578</v>
      </c>
      <c r="H26" s="153"/>
      <c r="I26" s="153"/>
      <c r="J26" s="104"/>
      <c r="K26" s="104"/>
      <c r="L26" s="104"/>
    </row>
    <row r="27" spans="1:12" x14ac:dyDescent="0.25">
      <c r="A27" s="99" t="s">
        <v>3266</v>
      </c>
      <c r="B27" s="100" t="s">
        <v>3586</v>
      </c>
      <c r="C27" s="101" t="s">
        <v>3564</v>
      </c>
      <c r="D27" s="102">
        <v>4.6744826272206025E-2</v>
      </c>
      <c r="E27" s="102">
        <v>0.11351004610923837</v>
      </c>
      <c r="F27" s="156">
        <v>7.1210046109238381E-2</v>
      </c>
      <c r="G27" s="158" t="s">
        <v>3578</v>
      </c>
      <c r="H27" s="153"/>
      <c r="I27" s="153"/>
      <c r="J27" s="104"/>
      <c r="K27" s="104"/>
      <c r="L27" s="104"/>
    </row>
    <row r="28" spans="1:12" x14ac:dyDescent="0.25">
      <c r="A28" s="99" t="s">
        <v>3106</v>
      </c>
      <c r="B28" s="100" t="s">
        <v>3551</v>
      </c>
      <c r="C28" s="101" t="s">
        <v>3582</v>
      </c>
      <c r="D28" s="102">
        <v>6.3724784533477435E-2</v>
      </c>
      <c r="E28" s="102">
        <v>0.13937694320020103</v>
      </c>
      <c r="F28" s="156">
        <v>9.7076943200201035E-2</v>
      </c>
      <c r="G28" s="158">
        <v>6.7299999999999999E-2</v>
      </c>
      <c r="H28" s="153"/>
      <c r="I28" s="153"/>
      <c r="J28" s="104"/>
      <c r="K28" s="104"/>
      <c r="L28" s="104"/>
    </row>
    <row r="29" spans="1:12" x14ac:dyDescent="0.25">
      <c r="A29" s="99" t="s">
        <v>3093</v>
      </c>
      <c r="B29" s="100" t="s">
        <v>3360</v>
      </c>
      <c r="C29" s="101" t="s">
        <v>3562</v>
      </c>
      <c r="D29" s="102">
        <v>0</v>
      </c>
      <c r="E29" s="102">
        <v>4.2299999999999997E-2</v>
      </c>
      <c r="F29" s="156">
        <v>0</v>
      </c>
      <c r="G29" s="158">
        <v>1.9E-3</v>
      </c>
      <c r="H29" s="153"/>
      <c r="I29" s="153"/>
      <c r="J29" s="104"/>
      <c r="K29" s="104"/>
      <c r="L29" s="104"/>
    </row>
    <row r="30" spans="1:12" x14ac:dyDescent="0.25">
      <c r="A30" s="99" t="s">
        <v>3589</v>
      </c>
      <c r="B30" s="100" t="s">
        <v>3551</v>
      </c>
      <c r="C30" s="101" t="s">
        <v>3564</v>
      </c>
      <c r="D30" s="102">
        <v>4.6744826272206025E-2</v>
      </c>
      <c r="E30" s="102">
        <v>0.11351004610923837</v>
      </c>
      <c r="F30" s="156">
        <v>7.1210046109238381E-2</v>
      </c>
      <c r="G30" s="158" t="s">
        <v>3578</v>
      </c>
      <c r="H30" s="153"/>
      <c r="I30" s="153"/>
      <c r="J30" s="104"/>
      <c r="K30" s="104"/>
      <c r="L30" s="104"/>
    </row>
    <row r="31" spans="1:12" x14ac:dyDescent="0.25">
      <c r="A31" s="99" t="s">
        <v>3126</v>
      </c>
      <c r="B31" s="100" t="s">
        <v>3583</v>
      </c>
      <c r="C31" s="101" t="s">
        <v>3561</v>
      </c>
      <c r="D31" s="102">
        <v>5.093987478381426E-3</v>
      </c>
      <c r="E31" s="102">
        <v>5.0060069127288796E-2</v>
      </c>
      <c r="F31" s="156">
        <v>7.7600691272887981E-3</v>
      </c>
      <c r="G31" s="158" t="s">
        <v>3578</v>
      </c>
      <c r="H31" s="153"/>
      <c r="I31" s="153"/>
      <c r="J31" s="104"/>
      <c r="K31" s="104"/>
      <c r="L31" s="104"/>
    </row>
    <row r="32" spans="1:12" x14ac:dyDescent="0.25">
      <c r="A32" s="99" t="s">
        <v>3101</v>
      </c>
      <c r="B32" s="100" t="s">
        <v>3581</v>
      </c>
      <c r="C32" s="101" t="s">
        <v>3557</v>
      </c>
      <c r="D32" s="102">
        <v>7.1915117341855425E-3</v>
      </c>
      <c r="E32" s="102">
        <v>5.3255391709113593E-2</v>
      </c>
      <c r="F32" s="156">
        <v>1.0955391709113598E-2</v>
      </c>
      <c r="G32" s="158">
        <v>7.2999999999999992E-3</v>
      </c>
      <c r="H32" s="153"/>
      <c r="I32" s="153"/>
      <c r="J32" s="104"/>
      <c r="K32" s="104"/>
      <c r="L32" s="104"/>
    </row>
    <row r="33" spans="1:12" s="79" customFormat="1" x14ac:dyDescent="0.25">
      <c r="A33" s="108" t="s">
        <v>2941</v>
      </c>
      <c r="B33" s="109" t="s">
        <v>3586</v>
      </c>
      <c r="C33" s="110" t="s">
        <v>3556</v>
      </c>
      <c r="D33" s="111">
        <v>5.9929264451546206E-3</v>
      </c>
      <c r="E33" s="111">
        <v>5.1429493090927994E-2</v>
      </c>
      <c r="F33" s="112">
        <v>9.1294930909280002E-3</v>
      </c>
      <c r="G33" s="159">
        <v>5.0000000000000001E-3</v>
      </c>
      <c r="H33" s="154"/>
      <c r="I33" s="154"/>
      <c r="J33" s="113"/>
      <c r="K33" s="113"/>
      <c r="L33" s="113"/>
    </row>
    <row r="34" spans="1:12" x14ac:dyDescent="0.25">
      <c r="A34" s="99" t="s">
        <v>3112</v>
      </c>
      <c r="B34" s="100" t="s">
        <v>3581</v>
      </c>
      <c r="C34" s="101" t="s">
        <v>3571</v>
      </c>
      <c r="D34" s="102">
        <v>1.8677954087398564E-2</v>
      </c>
      <c r="E34" s="102">
        <v>7.0753586800058929E-2</v>
      </c>
      <c r="F34" s="156">
        <v>2.8453586800058932E-2</v>
      </c>
      <c r="G34" s="158">
        <v>3.2000000000000001E-2</v>
      </c>
      <c r="H34" s="153"/>
      <c r="I34" s="153"/>
      <c r="J34" s="104"/>
      <c r="K34" s="104"/>
      <c r="L34" s="104"/>
    </row>
    <row r="35" spans="1:12" x14ac:dyDescent="0.25">
      <c r="A35" s="99" t="s">
        <v>3590</v>
      </c>
      <c r="B35" s="100" t="s">
        <v>3551</v>
      </c>
      <c r="C35" s="101" t="s">
        <v>3565</v>
      </c>
      <c r="D35" s="102">
        <v>5.523480540284173E-2</v>
      </c>
      <c r="E35" s="102">
        <v>0.12644349465471971</v>
      </c>
      <c r="F35" s="156">
        <v>8.4143494654719708E-2</v>
      </c>
      <c r="G35" s="158" t="s">
        <v>3578</v>
      </c>
      <c r="H35" s="153"/>
      <c r="I35" s="153"/>
      <c r="J35" s="104"/>
      <c r="K35" s="104"/>
      <c r="L35" s="104"/>
    </row>
    <row r="36" spans="1:12" x14ac:dyDescent="0.25">
      <c r="A36" s="99" t="s">
        <v>3591</v>
      </c>
      <c r="B36" s="100" t="s">
        <v>3551</v>
      </c>
      <c r="C36" s="101" t="s">
        <v>3587</v>
      </c>
      <c r="D36" s="102">
        <v>7.6509694283140611E-2</v>
      </c>
      <c r="E36" s="102">
        <v>0.15885319512751409</v>
      </c>
      <c r="F36" s="156">
        <v>0.11655319512751408</v>
      </c>
      <c r="G36" s="158" t="s">
        <v>3578</v>
      </c>
      <c r="H36" s="153"/>
      <c r="I36" s="153"/>
      <c r="J36" s="104"/>
      <c r="K36" s="104"/>
      <c r="L36" s="104"/>
    </row>
    <row r="37" spans="1:12" x14ac:dyDescent="0.25">
      <c r="A37" s="99" t="s">
        <v>3592</v>
      </c>
      <c r="B37" s="100" t="s">
        <v>3584</v>
      </c>
      <c r="C37" s="101" t="s">
        <v>3563</v>
      </c>
      <c r="D37" s="102">
        <v>3.8254847141570306E-2</v>
      </c>
      <c r="E37" s="102">
        <v>0.10057659756375703</v>
      </c>
      <c r="F37" s="156">
        <v>5.827659756375704E-2</v>
      </c>
      <c r="G37" s="158" t="s">
        <v>3578</v>
      </c>
      <c r="H37" s="153"/>
      <c r="I37" s="153"/>
      <c r="J37" s="104"/>
      <c r="K37" s="104"/>
      <c r="L37" s="104"/>
    </row>
    <row r="38" spans="1:12" x14ac:dyDescent="0.25">
      <c r="A38" s="99" t="s">
        <v>3118</v>
      </c>
      <c r="B38" s="100" t="s">
        <v>3581</v>
      </c>
      <c r="C38" s="101" t="s">
        <v>3567</v>
      </c>
      <c r="D38" s="102">
        <v>2.5569819499326372E-2</v>
      </c>
      <c r="E38" s="102">
        <v>8.1252503854626124E-2</v>
      </c>
      <c r="F38" s="156">
        <v>3.8952503854626126E-2</v>
      </c>
      <c r="G38" s="158">
        <v>1.6100000000000003E-2</v>
      </c>
      <c r="H38" s="153"/>
      <c r="I38" s="153"/>
      <c r="J38" s="104"/>
      <c r="K38" s="104"/>
      <c r="L38" s="104"/>
    </row>
    <row r="39" spans="1:12" x14ac:dyDescent="0.25">
      <c r="A39" s="99" t="s">
        <v>3593</v>
      </c>
      <c r="B39" s="100" t="s">
        <v>3551</v>
      </c>
      <c r="C39" s="101" t="s">
        <v>3567</v>
      </c>
      <c r="D39" s="102">
        <v>2.5569819499326372E-2</v>
      </c>
      <c r="E39" s="102">
        <v>8.1252503854626124E-2</v>
      </c>
      <c r="F39" s="156">
        <v>3.8952503854626126E-2</v>
      </c>
      <c r="G39" s="158" t="s">
        <v>3578</v>
      </c>
      <c r="H39" s="153"/>
      <c r="I39" s="153"/>
      <c r="J39" s="104"/>
      <c r="K39" s="104"/>
      <c r="L39" s="104"/>
    </row>
    <row r="40" spans="1:12" x14ac:dyDescent="0.25">
      <c r="A40" s="99" t="s">
        <v>3219</v>
      </c>
      <c r="B40" s="100" t="s">
        <v>3577</v>
      </c>
      <c r="C40" s="101" t="s">
        <v>3558</v>
      </c>
      <c r="D40" s="102">
        <v>1.0187974956762852E-2</v>
      </c>
      <c r="E40" s="102">
        <v>5.7820138254577595E-2</v>
      </c>
      <c r="F40" s="156">
        <v>1.5520138254577596E-2</v>
      </c>
      <c r="G40" s="158">
        <v>8.8000000000000005E-3</v>
      </c>
      <c r="H40" s="153"/>
      <c r="I40" s="153"/>
      <c r="J40" s="104"/>
      <c r="K40" s="104"/>
      <c r="L40" s="104"/>
    </row>
    <row r="41" spans="1:12" x14ac:dyDescent="0.25">
      <c r="A41" s="99" t="s">
        <v>3122</v>
      </c>
      <c r="B41" s="100" t="s">
        <v>3583</v>
      </c>
      <c r="C41" s="101" t="s">
        <v>3573</v>
      </c>
      <c r="D41" s="102">
        <v>0.10197963167504777</v>
      </c>
      <c r="E41" s="102">
        <v>0.19765354076395811</v>
      </c>
      <c r="F41" s="156">
        <v>0.1553535407639581</v>
      </c>
      <c r="G41" s="158" t="s">
        <v>3578</v>
      </c>
      <c r="H41" s="153"/>
      <c r="I41" s="153"/>
      <c r="J41" s="104"/>
      <c r="K41" s="104"/>
      <c r="L41" s="104"/>
    </row>
    <row r="42" spans="1:12" x14ac:dyDescent="0.25">
      <c r="A42" s="99" t="s">
        <v>3124</v>
      </c>
      <c r="B42" s="100" t="s">
        <v>3583</v>
      </c>
      <c r="C42" s="101" t="s">
        <v>3571</v>
      </c>
      <c r="D42" s="102">
        <v>1.8677954087398564E-2</v>
      </c>
      <c r="E42" s="102">
        <v>7.0753586800058929E-2</v>
      </c>
      <c r="F42" s="156">
        <v>2.8453586800058932E-2</v>
      </c>
      <c r="G42" s="158" t="s">
        <v>3578</v>
      </c>
      <c r="H42" s="153"/>
      <c r="I42" s="153"/>
      <c r="J42" s="104"/>
      <c r="K42" s="104"/>
      <c r="L42" s="104"/>
    </row>
    <row r="43" spans="1:12" x14ac:dyDescent="0.25">
      <c r="A43" s="99" t="s">
        <v>3128</v>
      </c>
      <c r="B43" s="100" t="s">
        <v>3580</v>
      </c>
      <c r="C43" s="101" t="s">
        <v>3558</v>
      </c>
      <c r="D43" s="102">
        <v>1.0187974956762852E-2</v>
      </c>
      <c r="E43" s="102">
        <v>5.7820138254577595E-2</v>
      </c>
      <c r="F43" s="156">
        <v>1.5520138254577596E-2</v>
      </c>
      <c r="G43" s="158">
        <v>6.0999999999999995E-3</v>
      </c>
      <c r="H43" s="153"/>
      <c r="I43" s="153"/>
      <c r="J43" s="104"/>
      <c r="K43" s="104"/>
      <c r="L43" s="104"/>
    </row>
    <row r="44" spans="1:12" x14ac:dyDescent="0.25">
      <c r="A44" s="99" t="s">
        <v>3594</v>
      </c>
      <c r="B44" s="100" t="s">
        <v>3577</v>
      </c>
      <c r="C44" s="101" t="s">
        <v>3561</v>
      </c>
      <c r="D44" s="102">
        <v>5.093987478381426E-3</v>
      </c>
      <c r="E44" s="102">
        <v>5.0060069127288796E-2</v>
      </c>
      <c r="F44" s="156">
        <v>7.7600691272887981E-3</v>
      </c>
      <c r="G44" s="158">
        <v>3.3999999999999994E-3</v>
      </c>
      <c r="H44" s="153"/>
      <c r="I44" s="153"/>
      <c r="J44" s="104"/>
      <c r="K44" s="104"/>
      <c r="L44" s="104"/>
    </row>
    <row r="45" spans="1:12" x14ac:dyDescent="0.25">
      <c r="A45" s="99" t="s">
        <v>3137</v>
      </c>
      <c r="B45" s="100" t="s">
        <v>3580</v>
      </c>
      <c r="C45" s="101" t="s">
        <v>3562</v>
      </c>
      <c r="D45" s="102">
        <v>0</v>
      </c>
      <c r="E45" s="102">
        <v>4.2299999999999997E-2</v>
      </c>
      <c r="F45" s="156">
        <v>0</v>
      </c>
      <c r="G45" s="158">
        <v>3.9999999999999996E-4</v>
      </c>
      <c r="H45" s="153"/>
      <c r="I45" s="153"/>
      <c r="J45" s="104"/>
      <c r="K45" s="104"/>
      <c r="L45" s="104"/>
    </row>
    <row r="46" spans="1:12" x14ac:dyDescent="0.25">
      <c r="A46" s="99" t="s">
        <v>3139</v>
      </c>
      <c r="B46" s="100" t="s">
        <v>3583</v>
      </c>
      <c r="C46" s="101" t="s">
        <v>3567</v>
      </c>
      <c r="D46" s="102">
        <v>2.5569819499326372E-2</v>
      </c>
      <c r="E46" s="102">
        <v>8.1252503854626124E-2</v>
      </c>
      <c r="F46" s="156">
        <v>3.8952503854626126E-2</v>
      </c>
      <c r="G46" s="158" t="s">
        <v>3578</v>
      </c>
      <c r="H46" s="153"/>
      <c r="I46" s="153"/>
      <c r="J46" s="104"/>
      <c r="K46" s="104"/>
      <c r="L46" s="104"/>
    </row>
    <row r="47" spans="1:12" x14ac:dyDescent="0.25">
      <c r="A47" s="99" t="s">
        <v>3153</v>
      </c>
      <c r="B47" s="100" t="s">
        <v>3581</v>
      </c>
      <c r="C47" s="101" t="s">
        <v>3588</v>
      </c>
      <c r="D47" s="102">
        <v>8.4999673413776344E-2</v>
      </c>
      <c r="E47" s="102">
        <v>0.17178664367299545</v>
      </c>
      <c r="F47" s="156">
        <v>0.12948664367299545</v>
      </c>
      <c r="G47" s="158">
        <v>5.5300000000000002E-2</v>
      </c>
      <c r="H47" s="153"/>
      <c r="I47" s="153"/>
      <c r="J47" s="104"/>
      <c r="K47" s="104"/>
      <c r="L47" s="104"/>
    </row>
    <row r="48" spans="1:12" x14ac:dyDescent="0.25">
      <c r="A48" s="99" t="s">
        <v>3595</v>
      </c>
      <c r="B48" s="100" t="s">
        <v>3551</v>
      </c>
      <c r="C48" s="101" t="s">
        <v>3582</v>
      </c>
      <c r="D48" s="102">
        <v>6.3724784533477435E-2</v>
      </c>
      <c r="E48" s="102">
        <v>0.13937694320020103</v>
      </c>
      <c r="F48" s="156">
        <v>9.7076943200201035E-2</v>
      </c>
      <c r="G48" s="158">
        <v>3.4099999999999998E-2</v>
      </c>
      <c r="H48" s="153"/>
      <c r="I48" s="153"/>
      <c r="J48" s="104"/>
      <c r="K48" s="104"/>
      <c r="L48" s="104"/>
    </row>
    <row r="49" spans="1:12" x14ac:dyDescent="0.25">
      <c r="A49" s="99" t="s">
        <v>3441</v>
      </c>
      <c r="B49" s="100" t="s">
        <v>3581</v>
      </c>
      <c r="C49" s="101" t="s">
        <v>3565</v>
      </c>
      <c r="D49" s="102">
        <v>5.523480540284173E-2</v>
      </c>
      <c r="E49" s="102">
        <v>0.12644349465471971</v>
      </c>
      <c r="F49" s="156">
        <v>8.4143494654719708E-2</v>
      </c>
      <c r="G49" s="158">
        <v>3.2600000000000004E-2</v>
      </c>
      <c r="H49" s="153"/>
      <c r="I49" s="153"/>
      <c r="J49" s="104"/>
      <c r="K49" s="104"/>
      <c r="L49" s="104"/>
    </row>
    <row r="50" spans="1:12" x14ac:dyDescent="0.25">
      <c r="A50" s="99" t="s">
        <v>3163</v>
      </c>
      <c r="B50" s="100" t="s">
        <v>3577</v>
      </c>
      <c r="C50" s="101" t="s">
        <v>3556</v>
      </c>
      <c r="D50" s="102">
        <v>5.9929264451546206E-3</v>
      </c>
      <c r="E50" s="102">
        <v>5.1429493090927994E-2</v>
      </c>
      <c r="F50" s="156">
        <v>9.1294930909280002E-3</v>
      </c>
      <c r="G50" s="158">
        <v>8.6E-3</v>
      </c>
      <c r="H50" s="153"/>
      <c r="I50" s="153"/>
      <c r="J50" s="104"/>
      <c r="K50" s="104"/>
      <c r="L50" s="104"/>
    </row>
    <row r="51" spans="1:12" x14ac:dyDescent="0.25">
      <c r="A51" s="99" t="s">
        <v>3165</v>
      </c>
      <c r="B51" s="100" t="s">
        <v>3551</v>
      </c>
      <c r="C51" s="101" t="s">
        <v>3587</v>
      </c>
      <c r="D51" s="102">
        <v>7.6509694283140611E-2</v>
      </c>
      <c r="E51" s="102">
        <v>0.15885319512751409</v>
      </c>
      <c r="F51" s="156">
        <v>0.11655319512751408</v>
      </c>
      <c r="G51" s="158" t="s">
        <v>3578</v>
      </c>
      <c r="H51" s="153"/>
      <c r="I51" s="153"/>
      <c r="J51" s="104"/>
      <c r="K51" s="104"/>
      <c r="L51" s="104"/>
    </row>
    <row r="52" spans="1:12" x14ac:dyDescent="0.25">
      <c r="A52" s="99" t="s">
        <v>3173</v>
      </c>
      <c r="B52" s="100" t="s">
        <v>3586</v>
      </c>
      <c r="C52" s="101" t="s">
        <v>3563</v>
      </c>
      <c r="D52" s="102">
        <v>3.8254847141570306E-2</v>
      </c>
      <c r="E52" s="102">
        <v>0.10057659756375703</v>
      </c>
      <c r="F52" s="156">
        <v>5.827659756375704E-2</v>
      </c>
      <c r="G52" s="158" t="s">
        <v>3578</v>
      </c>
      <c r="H52" s="153"/>
      <c r="I52" s="153"/>
      <c r="J52" s="104"/>
      <c r="K52" s="104"/>
      <c r="L52" s="104"/>
    </row>
    <row r="53" spans="1:12" x14ac:dyDescent="0.25">
      <c r="A53" s="99" t="s">
        <v>3171</v>
      </c>
      <c r="B53" s="100" t="s">
        <v>3580</v>
      </c>
      <c r="C53" s="101" t="s">
        <v>3559</v>
      </c>
      <c r="D53" s="102">
        <v>2.3336791699920191E-3</v>
      </c>
      <c r="E53" s="102">
        <v>4.5855075813772149E-2</v>
      </c>
      <c r="F53" s="156">
        <v>3.5550758137721547E-3</v>
      </c>
      <c r="G53" s="158">
        <v>1.1999999999999999E-3</v>
      </c>
      <c r="H53" s="153"/>
      <c r="I53" s="153"/>
      <c r="J53" s="104"/>
      <c r="K53" s="104"/>
      <c r="L53" s="104"/>
    </row>
    <row r="54" spans="1:12" x14ac:dyDescent="0.25">
      <c r="A54" s="99" t="s">
        <v>3175</v>
      </c>
      <c r="B54" s="100" t="s">
        <v>3580</v>
      </c>
      <c r="C54" s="101" t="s">
        <v>3561</v>
      </c>
      <c r="D54" s="102">
        <v>5.093987478381426E-3</v>
      </c>
      <c r="E54" s="102">
        <v>5.0060069127288796E-2</v>
      </c>
      <c r="F54" s="156">
        <v>7.7600691272887981E-3</v>
      </c>
      <c r="G54" s="158">
        <v>5.0000000000000001E-3</v>
      </c>
      <c r="H54" s="153"/>
      <c r="I54" s="153"/>
      <c r="J54" s="104"/>
      <c r="K54" s="104"/>
      <c r="L54" s="104"/>
    </row>
    <row r="55" spans="1:12" x14ac:dyDescent="0.25">
      <c r="A55" s="99" t="s">
        <v>3181</v>
      </c>
      <c r="B55" s="100" t="s">
        <v>3551</v>
      </c>
      <c r="C55" s="101" t="s">
        <v>3587</v>
      </c>
      <c r="D55" s="102">
        <v>7.6509694283140611E-2</v>
      </c>
      <c r="E55" s="102">
        <v>0.15885319512751409</v>
      </c>
      <c r="F55" s="156">
        <v>0.11655319512751408</v>
      </c>
      <c r="G55" s="158" t="s">
        <v>3578</v>
      </c>
      <c r="H55" s="153"/>
      <c r="I55" s="153"/>
      <c r="J55" s="104"/>
      <c r="K55" s="104"/>
      <c r="L55" s="104"/>
    </row>
    <row r="56" spans="1:12" x14ac:dyDescent="0.25">
      <c r="A56" s="99" t="s">
        <v>3185</v>
      </c>
      <c r="B56" s="100" t="s">
        <v>3577</v>
      </c>
      <c r="C56" s="101" t="s">
        <v>3567</v>
      </c>
      <c r="D56" s="102">
        <v>2.5569819499326372E-2</v>
      </c>
      <c r="E56" s="102">
        <v>8.1252503854626124E-2</v>
      </c>
      <c r="F56" s="156">
        <v>3.8952503854626126E-2</v>
      </c>
      <c r="G56" s="158" t="s">
        <v>3578</v>
      </c>
      <c r="H56" s="153"/>
      <c r="I56" s="153"/>
      <c r="J56" s="104"/>
      <c r="K56" s="104"/>
      <c r="L56" s="104"/>
    </row>
    <row r="57" spans="1:12" s="79" customFormat="1" x14ac:dyDescent="0.25">
      <c r="A57" s="108" t="s">
        <v>2943</v>
      </c>
      <c r="B57" s="109" t="s">
        <v>3580</v>
      </c>
      <c r="C57" s="110" t="s">
        <v>3562</v>
      </c>
      <c r="D57" s="111">
        <v>0</v>
      </c>
      <c r="E57" s="111">
        <v>4.2299999999999997E-2</v>
      </c>
      <c r="F57" s="112">
        <v>0</v>
      </c>
      <c r="G57" s="159">
        <v>6.9999999999999988E-4</v>
      </c>
      <c r="H57" s="154"/>
      <c r="I57" s="154"/>
      <c r="J57" s="113"/>
      <c r="K57" s="113"/>
      <c r="L57" s="113"/>
    </row>
    <row r="58" spans="1:12" x14ac:dyDescent="0.25">
      <c r="A58" s="99" t="s">
        <v>3187</v>
      </c>
      <c r="B58" s="100" t="s">
        <v>3551</v>
      </c>
      <c r="C58" s="101" t="s">
        <v>3582</v>
      </c>
      <c r="D58" s="102">
        <v>6.3724784533477435E-2</v>
      </c>
      <c r="E58" s="102">
        <v>0.13937694320020103</v>
      </c>
      <c r="F58" s="156">
        <v>9.7076943200201035E-2</v>
      </c>
      <c r="G58" s="158" t="s">
        <v>3578</v>
      </c>
      <c r="H58" s="153"/>
      <c r="I58" s="153"/>
      <c r="J58" s="104"/>
      <c r="K58" s="104"/>
      <c r="L58" s="104"/>
    </row>
    <row r="59" spans="1:12" x14ac:dyDescent="0.25">
      <c r="A59" s="99" t="s">
        <v>3199</v>
      </c>
      <c r="B59" s="100" t="s">
        <v>3580</v>
      </c>
      <c r="C59" s="101" t="s">
        <v>3571</v>
      </c>
      <c r="D59" s="102">
        <v>1.8677954087398564E-2</v>
      </c>
      <c r="E59" s="102">
        <v>7.0753586800058929E-2</v>
      </c>
      <c r="F59" s="156">
        <v>2.8453586800058932E-2</v>
      </c>
      <c r="G59" s="158">
        <v>6.0999999999999995E-3</v>
      </c>
      <c r="H59" s="153"/>
      <c r="I59" s="153"/>
      <c r="J59" s="104"/>
      <c r="K59" s="104"/>
      <c r="L59" s="104"/>
    </row>
    <row r="60" spans="1:12" x14ac:dyDescent="0.25">
      <c r="A60" s="99" t="s">
        <v>3205</v>
      </c>
      <c r="B60" s="100" t="s">
        <v>3581</v>
      </c>
      <c r="C60" s="101" t="s">
        <v>3566</v>
      </c>
      <c r="D60" s="102">
        <v>2.1274888880298898E-2</v>
      </c>
      <c r="E60" s="102">
        <v>7.4709700472794391E-2</v>
      </c>
      <c r="F60" s="156">
        <v>3.2409700472794394E-2</v>
      </c>
      <c r="G60" s="158" t="s">
        <v>3578</v>
      </c>
      <c r="H60" s="153"/>
      <c r="I60" s="153"/>
      <c r="J60" s="104"/>
      <c r="K60" s="104"/>
      <c r="L60" s="104"/>
    </row>
    <row r="61" spans="1:12" x14ac:dyDescent="0.25">
      <c r="A61" s="99" t="s">
        <v>3596</v>
      </c>
      <c r="B61" s="100" t="s">
        <v>3580</v>
      </c>
      <c r="C61" s="101" t="s">
        <v>3556</v>
      </c>
      <c r="D61" s="102">
        <v>5.9929264451546206E-3</v>
      </c>
      <c r="E61" s="102">
        <v>5.1429493090927994E-2</v>
      </c>
      <c r="F61" s="156">
        <v>9.1294930909280002E-3</v>
      </c>
      <c r="G61" s="158" t="s">
        <v>3578</v>
      </c>
      <c r="H61" s="153"/>
      <c r="I61" s="153"/>
      <c r="J61" s="104"/>
      <c r="K61" s="104"/>
      <c r="L61" s="104"/>
    </row>
    <row r="62" spans="1:12" x14ac:dyDescent="0.25">
      <c r="A62" s="99" t="s">
        <v>3215</v>
      </c>
      <c r="B62" s="100" t="s">
        <v>3581</v>
      </c>
      <c r="C62" s="101" t="s">
        <v>3563</v>
      </c>
      <c r="D62" s="102">
        <v>3.8254847141570306E-2</v>
      </c>
      <c r="E62" s="102">
        <v>0.10057659756375703</v>
      </c>
      <c r="F62" s="156">
        <v>5.827659756375704E-2</v>
      </c>
      <c r="G62" s="158" t="s">
        <v>3578</v>
      </c>
      <c r="H62" s="153"/>
      <c r="I62" s="153"/>
      <c r="J62" s="104"/>
      <c r="K62" s="104"/>
      <c r="L62" s="104"/>
    </row>
    <row r="63" spans="1:12" x14ac:dyDescent="0.25">
      <c r="A63" s="99" t="s">
        <v>3597</v>
      </c>
      <c r="B63" s="100" t="s">
        <v>3586</v>
      </c>
      <c r="C63" s="101" t="s">
        <v>3561</v>
      </c>
      <c r="D63" s="102">
        <v>5.093987478381426E-3</v>
      </c>
      <c r="E63" s="102">
        <v>5.0060069127288796E-2</v>
      </c>
      <c r="F63" s="156">
        <v>7.7600691272887981E-3</v>
      </c>
      <c r="G63" s="158">
        <v>3.0000000000000001E-3</v>
      </c>
      <c r="H63" s="153"/>
      <c r="I63" s="153"/>
      <c r="J63" s="104"/>
      <c r="K63" s="104"/>
      <c r="L63" s="104"/>
    </row>
    <row r="64" spans="1:12" x14ac:dyDescent="0.25">
      <c r="A64" s="99" t="s">
        <v>3223</v>
      </c>
      <c r="B64" s="100" t="s">
        <v>3577</v>
      </c>
      <c r="C64" s="101" t="s">
        <v>3570</v>
      </c>
      <c r="D64" s="102">
        <v>1.6180901401917473E-2</v>
      </c>
      <c r="E64" s="102">
        <v>6.6949631345505592E-2</v>
      </c>
      <c r="F64" s="156">
        <v>2.4649631345505598E-2</v>
      </c>
      <c r="G64" s="158">
        <v>1.46E-2</v>
      </c>
      <c r="H64" s="153"/>
      <c r="I64" s="153"/>
      <c r="J64" s="104"/>
      <c r="K64" s="104"/>
      <c r="L64" s="104"/>
    </row>
    <row r="65" spans="1:12" x14ac:dyDescent="0.25">
      <c r="A65" s="99" t="s">
        <v>3248</v>
      </c>
      <c r="B65" s="100" t="s">
        <v>3580</v>
      </c>
      <c r="C65" s="101" t="s">
        <v>3556</v>
      </c>
      <c r="D65" s="102">
        <v>5.9929264451546206E-3</v>
      </c>
      <c r="E65" s="102">
        <v>5.1429493090927994E-2</v>
      </c>
      <c r="F65" s="156">
        <v>9.1294930909280002E-3</v>
      </c>
      <c r="G65" s="158">
        <v>3.0999999999999995E-3</v>
      </c>
      <c r="H65" s="153"/>
      <c r="I65" s="153"/>
      <c r="J65" s="104"/>
      <c r="K65" s="104"/>
      <c r="L65" s="104"/>
    </row>
    <row r="66" spans="1:12" s="79" customFormat="1" x14ac:dyDescent="0.25">
      <c r="A66" s="108" t="s">
        <v>2942</v>
      </c>
      <c r="B66" s="109" t="s">
        <v>3586</v>
      </c>
      <c r="C66" s="110" t="s">
        <v>3571</v>
      </c>
      <c r="D66" s="111">
        <v>1.8677954087398564E-2</v>
      </c>
      <c r="E66" s="111">
        <v>7.0753586800058929E-2</v>
      </c>
      <c r="F66" s="112">
        <v>2.8453586800058932E-2</v>
      </c>
      <c r="G66" s="159">
        <v>6.6E-3</v>
      </c>
      <c r="H66" s="154"/>
      <c r="I66" s="154"/>
      <c r="J66" s="113"/>
      <c r="K66" s="113"/>
      <c r="L66" s="113"/>
    </row>
    <row r="67" spans="1:12" x14ac:dyDescent="0.25">
      <c r="A67" s="99" t="s">
        <v>3233</v>
      </c>
      <c r="B67" s="100" t="s">
        <v>3586</v>
      </c>
      <c r="C67" s="101" t="s">
        <v>3570</v>
      </c>
      <c r="D67" s="102">
        <v>1.6180901401917473E-2</v>
      </c>
      <c r="E67" s="102">
        <v>6.6949631345505592E-2</v>
      </c>
      <c r="F67" s="156">
        <v>2.4649631345505598E-2</v>
      </c>
      <c r="G67" s="158">
        <v>1.0500000000000001E-2</v>
      </c>
      <c r="H67" s="153"/>
      <c r="I67" s="153"/>
      <c r="J67" s="104"/>
      <c r="K67" s="104"/>
      <c r="L67" s="104"/>
    </row>
    <row r="68" spans="1:12" x14ac:dyDescent="0.25">
      <c r="A68" s="99" t="s">
        <v>3246</v>
      </c>
      <c r="B68" s="100" t="s">
        <v>3576</v>
      </c>
      <c r="C68" s="101" t="s">
        <v>3582</v>
      </c>
      <c r="D68" s="102">
        <v>6.3724784533477435E-2</v>
      </c>
      <c r="E68" s="102">
        <v>0.13937694320020103</v>
      </c>
      <c r="F68" s="156">
        <v>9.7076943200201035E-2</v>
      </c>
      <c r="G68" s="158">
        <v>2.75E-2</v>
      </c>
      <c r="H68" s="153"/>
      <c r="I68" s="153"/>
      <c r="J68" s="104"/>
      <c r="K68" s="104"/>
      <c r="L68" s="104"/>
    </row>
    <row r="69" spans="1:12" x14ac:dyDescent="0.25">
      <c r="A69" s="99" t="s">
        <v>3242</v>
      </c>
      <c r="B69" s="100" t="s">
        <v>3580</v>
      </c>
      <c r="C69" s="101" t="s">
        <v>3561</v>
      </c>
      <c r="D69" s="102">
        <v>5.093987478381426E-3</v>
      </c>
      <c r="E69" s="102">
        <v>5.0060069127288796E-2</v>
      </c>
      <c r="F69" s="156">
        <v>7.7600691272887981E-3</v>
      </c>
      <c r="G69" s="158">
        <v>2E-3</v>
      </c>
      <c r="H69" s="153"/>
      <c r="I69" s="153"/>
      <c r="J69" s="104"/>
      <c r="K69" s="104"/>
      <c r="L69" s="104"/>
    </row>
    <row r="70" spans="1:12" x14ac:dyDescent="0.25">
      <c r="A70" s="99" t="s">
        <v>3237</v>
      </c>
      <c r="B70" s="100" t="s">
        <v>3580</v>
      </c>
      <c r="C70" s="101" t="s">
        <v>3561</v>
      </c>
      <c r="D70" s="102">
        <v>5.093987478381426E-3</v>
      </c>
      <c r="E70" s="102">
        <v>5.0060069127288796E-2</v>
      </c>
      <c r="F70" s="156">
        <v>7.7600691272887981E-3</v>
      </c>
      <c r="G70" s="158" t="s">
        <v>3578</v>
      </c>
      <c r="H70" s="153"/>
      <c r="I70" s="153"/>
      <c r="J70" s="104"/>
      <c r="K70" s="104"/>
      <c r="L70" s="104"/>
    </row>
    <row r="71" spans="1:12" x14ac:dyDescent="0.25">
      <c r="A71" s="99" t="s">
        <v>3250</v>
      </c>
      <c r="B71" s="100" t="s">
        <v>3576</v>
      </c>
      <c r="C71" s="101" t="s">
        <v>3569</v>
      </c>
      <c r="D71" s="102">
        <v>1.3583966609017133E-2</v>
      </c>
      <c r="E71" s="102">
        <v>6.2993517672770116E-2</v>
      </c>
      <c r="F71" s="156">
        <v>2.0693517672770126E-2</v>
      </c>
      <c r="G71" s="158">
        <v>9.8999999999999991E-3</v>
      </c>
      <c r="H71" s="153"/>
      <c r="I71" s="153"/>
      <c r="J71" s="104"/>
      <c r="K71" s="104"/>
      <c r="L71" s="104"/>
    </row>
    <row r="72" spans="1:12" x14ac:dyDescent="0.25">
      <c r="A72" s="99" t="s">
        <v>3252</v>
      </c>
      <c r="B72" s="100" t="s">
        <v>3580</v>
      </c>
      <c r="C72" s="101" t="s">
        <v>3570</v>
      </c>
      <c r="D72" s="102">
        <v>1.6180901401917473E-2</v>
      </c>
      <c r="E72" s="102">
        <v>6.6949631345505592E-2</v>
      </c>
      <c r="F72" s="156">
        <v>2.4649631345505598E-2</v>
      </c>
      <c r="G72" s="158">
        <v>4.7000000000000002E-3</v>
      </c>
      <c r="H72" s="153"/>
      <c r="I72" s="153"/>
      <c r="J72" s="104"/>
      <c r="K72" s="104"/>
      <c r="L72" s="104"/>
    </row>
    <row r="73" spans="1:12" x14ac:dyDescent="0.25">
      <c r="A73" s="99" t="s">
        <v>3254</v>
      </c>
      <c r="B73" s="100" t="s">
        <v>3583</v>
      </c>
      <c r="C73" s="101" t="s">
        <v>3568</v>
      </c>
      <c r="D73" s="102">
        <v>3.0563924870288552E-2</v>
      </c>
      <c r="E73" s="102">
        <v>8.8860414763732784E-2</v>
      </c>
      <c r="F73" s="156">
        <v>4.6560414763732787E-2</v>
      </c>
      <c r="G73" s="158" t="s">
        <v>3578</v>
      </c>
      <c r="H73" s="153"/>
      <c r="I73" s="153"/>
      <c r="J73" s="104"/>
      <c r="K73" s="104"/>
      <c r="L73" s="104"/>
    </row>
    <row r="74" spans="1:12" x14ac:dyDescent="0.25">
      <c r="A74" s="99" t="s">
        <v>3258</v>
      </c>
      <c r="B74" s="100" t="s">
        <v>3586</v>
      </c>
      <c r="C74" s="101" t="s">
        <v>3556</v>
      </c>
      <c r="D74" s="102">
        <v>5.9929264451546206E-3</v>
      </c>
      <c r="E74" s="102">
        <v>5.1429493090927994E-2</v>
      </c>
      <c r="F74" s="156">
        <v>9.1294930909280002E-3</v>
      </c>
      <c r="G74" s="158">
        <v>3.0000000000000001E-3</v>
      </c>
      <c r="H74" s="153"/>
      <c r="I74" s="153"/>
      <c r="J74" s="104"/>
      <c r="K74" s="104"/>
      <c r="L74" s="104"/>
    </row>
    <row r="75" spans="1:12" x14ac:dyDescent="0.25">
      <c r="A75" s="99" t="s">
        <v>3598</v>
      </c>
      <c r="B75" s="100" t="s">
        <v>3580</v>
      </c>
      <c r="C75" s="101" t="s">
        <v>3561</v>
      </c>
      <c r="D75" s="102">
        <v>5.093987478381426E-3</v>
      </c>
      <c r="E75" s="102">
        <v>5.0060069127288796E-2</v>
      </c>
      <c r="F75" s="156">
        <v>7.7600691272887981E-3</v>
      </c>
      <c r="G75" s="158" t="s">
        <v>3578</v>
      </c>
      <c r="H75" s="153"/>
      <c r="I75" s="153"/>
      <c r="J75" s="104"/>
      <c r="K75" s="104"/>
      <c r="L75" s="104"/>
    </row>
    <row r="76" spans="1:12" x14ac:dyDescent="0.25">
      <c r="A76" s="99" t="s">
        <v>3256</v>
      </c>
      <c r="B76" s="100" t="s">
        <v>3576</v>
      </c>
      <c r="C76" s="101" t="s">
        <v>3568</v>
      </c>
      <c r="D76" s="102">
        <v>3.0563924870288552E-2</v>
      </c>
      <c r="E76" s="102">
        <v>8.8860414763732784E-2</v>
      </c>
      <c r="F76" s="156">
        <v>4.6560414763732787E-2</v>
      </c>
      <c r="G76" s="158" t="s">
        <v>3578</v>
      </c>
      <c r="H76" s="153"/>
      <c r="I76" s="153"/>
      <c r="J76" s="104"/>
      <c r="K76" s="104"/>
      <c r="L76" s="104"/>
    </row>
    <row r="77" spans="1:12" x14ac:dyDescent="0.25">
      <c r="A77" s="99" t="s">
        <v>3260</v>
      </c>
      <c r="B77" s="100" t="s">
        <v>3577</v>
      </c>
      <c r="C77" s="101" t="s">
        <v>3569</v>
      </c>
      <c r="D77" s="102">
        <v>1.3583966609017133E-2</v>
      </c>
      <c r="E77" s="102">
        <v>6.2993517672770116E-2</v>
      </c>
      <c r="F77" s="156">
        <v>2.0693517672770126E-2</v>
      </c>
      <c r="G77" s="158">
        <v>1.17E-2</v>
      </c>
      <c r="H77" s="153"/>
      <c r="I77" s="153"/>
      <c r="J77" s="104"/>
      <c r="K77" s="104"/>
      <c r="L77" s="104"/>
    </row>
    <row r="78" spans="1:12" x14ac:dyDescent="0.25">
      <c r="A78" s="99" t="s">
        <v>3262</v>
      </c>
      <c r="B78" s="100" t="s">
        <v>3551</v>
      </c>
      <c r="C78" s="101" t="s">
        <v>3565</v>
      </c>
      <c r="D78" s="102">
        <v>5.523480540284173E-2</v>
      </c>
      <c r="E78" s="102">
        <v>0.12644349465471971</v>
      </c>
      <c r="F78" s="156">
        <v>8.4143494654719708E-2</v>
      </c>
      <c r="G78" s="158">
        <v>4.3700000000000003E-2</v>
      </c>
      <c r="H78" s="153"/>
      <c r="I78" s="153"/>
      <c r="J78" s="104"/>
      <c r="K78" s="104"/>
      <c r="L78" s="104"/>
    </row>
    <row r="79" spans="1:12" x14ac:dyDescent="0.25">
      <c r="A79" s="99" t="s">
        <v>3599</v>
      </c>
      <c r="B79" s="100" t="s">
        <v>3586</v>
      </c>
      <c r="C79" s="101" t="s">
        <v>3560</v>
      </c>
      <c r="D79" s="102">
        <v>4.195048511608233E-3</v>
      </c>
      <c r="E79" s="102">
        <v>4.8690645163649598E-2</v>
      </c>
      <c r="F79" s="156">
        <v>6.3906451636495986E-3</v>
      </c>
      <c r="G79" s="158">
        <v>2E-3</v>
      </c>
      <c r="H79" s="153"/>
      <c r="I79" s="153"/>
      <c r="J79" s="104"/>
      <c r="K79" s="104"/>
      <c r="L79" s="104"/>
    </row>
    <row r="80" spans="1:12" x14ac:dyDescent="0.25">
      <c r="A80" s="99" t="s">
        <v>3274</v>
      </c>
      <c r="B80" s="100" t="s">
        <v>3576</v>
      </c>
      <c r="C80" s="101" t="s">
        <v>3556</v>
      </c>
      <c r="D80" s="102">
        <v>5.9929264451546206E-3</v>
      </c>
      <c r="E80" s="102">
        <v>5.1429493090927994E-2</v>
      </c>
      <c r="F80" s="156">
        <v>9.1294930909280002E-3</v>
      </c>
      <c r="G80" s="158">
        <v>7.2999999999999992E-3</v>
      </c>
      <c r="H80" s="153"/>
      <c r="I80" s="153"/>
      <c r="J80" s="104"/>
      <c r="K80" s="104"/>
      <c r="L80" s="104"/>
    </row>
    <row r="81" spans="1:12" x14ac:dyDescent="0.25">
      <c r="A81" s="99" t="s">
        <v>3600</v>
      </c>
      <c r="B81" s="100" t="s">
        <v>3577</v>
      </c>
      <c r="C81" s="101" t="s">
        <v>3565</v>
      </c>
      <c r="D81" s="102">
        <v>5.523480540284173E-2</v>
      </c>
      <c r="E81" s="102">
        <v>0.12644349465471971</v>
      </c>
      <c r="F81" s="156">
        <v>8.4143494654719708E-2</v>
      </c>
      <c r="G81" s="158" t="s">
        <v>3578</v>
      </c>
      <c r="H81" s="153"/>
      <c r="I81" s="153"/>
      <c r="J81" s="104"/>
      <c r="K81" s="104"/>
      <c r="L81" s="104"/>
    </row>
    <row r="82" spans="1:12" x14ac:dyDescent="0.25">
      <c r="A82" s="99" t="s">
        <v>3601</v>
      </c>
      <c r="B82" s="100" t="s">
        <v>3586</v>
      </c>
      <c r="C82" s="101" t="s">
        <v>3587</v>
      </c>
      <c r="D82" s="102">
        <v>7.6509694283140611E-2</v>
      </c>
      <c r="E82" s="102">
        <v>0.15885319512751409</v>
      </c>
      <c r="F82" s="156">
        <v>0.11655319512751408</v>
      </c>
      <c r="G82" s="158" t="s">
        <v>3578</v>
      </c>
      <c r="H82" s="153"/>
      <c r="I82" s="153"/>
      <c r="J82" s="104"/>
      <c r="K82" s="104"/>
      <c r="L82" s="104"/>
    </row>
    <row r="83" spans="1:12" x14ac:dyDescent="0.25">
      <c r="A83" s="99" t="s">
        <v>3310</v>
      </c>
      <c r="B83" s="100" t="s">
        <v>3577</v>
      </c>
      <c r="C83" s="101" t="s">
        <v>3558</v>
      </c>
      <c r="D83" s="102">
        <v>1.0187974956762852E-2</v>
      </c>
      <c r="E83" s="102">
        <v>5.7820138254577595E-2</v>
      </c>
      <c r="F83" s="156">
        <v>1.5520138254577596E-2</v>
      </c>
      <c r="G83" s="158">
        <v>6.8000000000000005E-3</v>
      </c>
      <c r="H83" s="153"/>
      <c r="I83" s="153"/>
      <c r="J83" s="104"/>
      <c r="K83" s="104"/>
      <c r="L83" s="104"/>
    </row>
    <row r="84" spans="1:12" x14ac:dyDescent="0.25">
      <c r="A84" s="99" t="s">
        <v>3280</v>
      </c>
      <c r="B84" s="100" t="s">
        <v>3576</v>
      </c>
      <c r="C84" s="101" t="s">
        <v>3572</v>
      </c>
      <c r="D84" s="102">
        <v>0.17499999999999999</v>
      </c>
      <c r="E84" s="102">
        <v>0.30889117303269015</v>
      </c>
      <c r="F84" s="156">
        <v>0.26659117303269014</v>
      </c>
      <c r="G84" s="158" t="s">
        <v>3578</v>
      </c>
      <c r="H84" s="153"/>
      <c r="I84" s="153"/>
      <c r="J84" s="104"/>
      <c r="K84" s="104"/>
      <c r="L84" s="104"/>
    </row>
    <row r="85" spans="1:12" x14ac:dyDescent="0.25">
      <c r="A85" s="99" t="s">
        <v>3294</v>
      </c>
      <c r="B85" s="100" t="s">
        <v>3580</v>
      </c>
      <c r="C85" s="101" t="s">
        <v>3562</v>
      </c>
      <c r="D85" s="102">
        <v>0</v>
      </c>
      <c r="E85" s="102">
        <v>4.2299999999999997E-2</v>
      </c>
      <c r="F85" s="156">
        <v>0</v>
      </c>
      <c r="G85" s="158" t="s">
        <v>3578</v>
      </c>
      <c r="H85" s="153"/>
      <c r="I85" s="153"/>
      <c r="J85" s="104"/>
      <c r="K85" s="104"/>
      <c r="L85" s="104"/>
    </row>
    <row r="86" spans="1:12" x14ac:dyDescent="0.25">
      <c r="A86" s="99" t="s">
        <v>3306</v>
      </c>
      <c r="B86" s="100" t="s">
        <v>3577</v>
      </c>
      <c r="C86" s="101" t="s">
        <v>3557</v>
      </c>
      <c r="D86" s="102">
        <v>7.1915117341855425E-3</v>
      </c>
      <c r="E86" s="102">
        <v>5.3255391709113593E-2</v>
      </c>
      <c r="F86" s="156">
        <v>1.0955391709113598E-2</v>
      </c>
      <c r="G86" s="158">
        <v>6.8000000000000005E-3</v>
      </c>
      <c r="H86" s="153"/>
      <c r="I86" s="153"/>
      <c r="J86" s="104"/>
      <c r="K86" s="104"/>
      <c r="L86" s="104"/>
    </row>
    <row r="87" spans="1:12" x14ac:dyDescent="0.25">
      <c r="A87" s="99" t="s">
        <v>3308</v>
      </c>
      <c r="B87" s="100" t="s">
        <v>3580</v>
      </c>
      <c r="C87" s="101" t="s">
        <v>3562</v>
      </c>
      <c r="D87" s="102">
        <v>0</v>
      </c>
      <c r="E87" s="102">
        <v>4.2299999999999997E-2</v>
      </c>
      <c r="F87" s="156">
        <v>0</v>
      </c>
      <c r="G87" s="158" t="s">
        <v>3578</v>
      </c>
      <c r="H87" s="153"/>
      <c r="I87" s="153"/>
      <c r="J87" s="104"/>
      <c r="K87" s="104"/>
      <c r="L87" s="104"/>
    </row>
    <row r="88" spans="1:12" x14ac:dyDescent="0.25">
      <c r="A88" s="99" t="s">
        <v>3602</v>
      </c>
      <c r="B88" s="100" t="s">
        <v>3586</v>
      </c>
      <c r="C88" s="101" t="s">
        <v>3561</v>
      </c>
      <c r="D88" s="102">
        <v>5.093987478381426E-3</v>
      </c>
      <c r="E88" s="102">
        <v>5.0060069127288796E-2</v>
      </c>
      <c r="F88" s="156">
        <v>7.7600691272887981E-3</v>
      </c>
      <c r="G88" s="158" t="s">
        <v>3578</v>
      </c>
      <c r="H88" s="153"/>
      <c r="I88" s="153"/>
      <c r="J88" s="104"/>
      <c r="K88" s="104"/>
      <c r="L88" s="104"/>
    </row>
    <row r="89" spans="1:12" x14ac:dyDescent="0.25">
      <c r="A89" s="99" t="s">
        <v>3603</v>
      </c>
      <c r="B89" s="100" t="s">
        <v>3577</v>
      </c>
      <c r="C89" s="101" t="s">
        <v>3568</v>
      </c>
      <c r="D89" s="102">
        <v>3.0563924870288552E-2</v>
      </c>
      <c r="E89" s="102">
        <v>8.8860414763732784E-2</v>
      </c>
      <c r="F89" s="156">
        <v>4.6560414763732787E-2</v>
      </c>
      <c r="G89" s="158" t="s">
        <v>3578</v>
      </c>
      <c r="H89" s="153"/>
      <c r="I89" s="153"/>
      <c r="J89" s="104"/>
      <c r="K89" s="104"/>
      <c r="L89" s="104"/>
    </row>
    <row r="90" spans="1:12" x14ac:dyDescent="0.25">
      <c r="A90" s="99" t="s">
        <v>3358</v>
      </c>
      <c r="B90" s="100" t="s">
        <v>3586</v>
      </c>
      <c r="C90" s="101" t="s">
        <v>3558</v>
      </c>
      <c r="D90" s="102">
        <v>1.0187974956762852E-2</v>
      </c>
      <c r="E90" s="102">
        <v>5.7820138254577595E-2</v>
      </c>
      <c r="F90" s="156">
        <v>1.5520138254577596E-2</v>
      </c>
      <c r="G90" s="158">
        <v>5.3E-3</v>
      </c>
      <c r="H90" s="153"/>
      <c r="I90" s="153"/>
      <c r="J90" s="104"/>
      <c r="K90" s="104"/>
      <c r="L90" s="104"/>
    </row>
    <row r="91" spans="1:12" x14ac:dyDescent="0.25">
      <c r="A91" s="99" t="s">
        <v>3324</v>
      </c>
      <c r="B91" s="100" t="s">
        <v>3586</v>
      </c>
      <c r="C91" s="101" t="s">
        <v>3587</v>
      </c>
      <c r="D91" s="102">
        <v>7.6509694283140611E-2</v>
      </c>
      <c r="E91" s="102">
        <v>0.15885319512751409</v>
      </c>
      <c r="F91" s="156">
        <v>0.11655319512751408</v>
      </c>
      <c r="G91" s="158" t="s">
        <v>3578</v>
      </c>
      <c r="H91" s="153"/>
      <c r="I91" s="153"/>
      <c r="J91" s="104"/>
      <c r="K91" s="104"/>
      <c r="L91" s="104"/>
    </row>
    <row r="92" spans="1:12" x14ac:dyDescent="0.25">
      <c r="A92" s="99" t="s">
        <v>3336</v>
      </c>
      <c r="B92" s="100" t="s">
        <v>3551</v>
      </c>
      <c r="C92" s="101" t="s">
        <v>3587</v>
      </c>
      <c r="D92" s="102">
        <v>7.6509694283140611E-2</v>
      </c>
      <c r="E92" s="102">
        <v>0.15885319512751409</v>
      </c>
      <c r="F92" s="156">
        <v>0.11655319512751408</v>
      </c>
      <c r="G92" s="158" t="s">
        <v>3578</v>
      </c>
      <c r="H92" s="153"/>
      <c r="I92" s="153"/>
      <c r="J92" s="104"/>
      <c r="K92" s="104"/>
      <c r="L92" s="104"/>
    </row>
    <row r="93" spans="1:12" x14ac:dyDescent="0.25">
      <c r="A93" s="99" t="s">
        <v>3338</v>
      </c>
      <c r="B93" s="100" t="s">
        <v>3580</v>
      </c>
      <c r="C93" s="101" t="s">
        <v>3557</v>
      </c>
      <c r="D93" s="102">
        <v>7.1915117341855425E-3</v>
      </c>
      <c r="E93" s="102">
        <v>5.3255391709113593E-2</v>
      </c>
      <c r="F93" s="156">
        <v>1.0955391709113598E-2</v>
      </c>
      <c r="G93" s="158" t="s">
        <v>3578</v>
      </c>
      <c r="H93" s="153"/>
      <c r="I93" s="153"/>
      <c r="J93" s="104"/>
      <c r="K93" s="104"/>
      <c r="L93" s="104"/>
    </row>
    <row r="94" spans="1:12" x14ac:dyDescent="0.25">
      <c r="A94" s="99" t="s">
        <v>3354</v>
      </c>
      <c r="B94" s="100" t="s">
        <v>3551</v>
      </c>
      <c r="C94" s="101" t="s">
        <v>3571</v>
      </c>
      <c r="D94" s="102">
        <v>1.8677954087398564E-2</v>
      </c>
      <c r="E94" s="102">
        <v>7.0753586800058929E-2</v>
      </c>
      <c r="F94" s="156">
        <v>2.8453586800058932E-2</v>
      </c>
      <c r="G94" s="158" t="s">
        <v>3578</v>
      </c>
      <c r="H94" s="153"/>
      <c r="I94" s="153"/>
      <c r="J94" s="104"/>
      <c r="K94" s="104"/>
      <c r="L94" s="104"/>
    </row>
    <row r="95" spans="1:12" x14ac:dyDescent="0.25">
      <c r="A95" s="99" t="s">
        <v>3328</v>
      </c>
      <c r="B95" s="100" t="s">
        <v>3581</v>
      </c>
      <c r="C95" s="101" t="s">
        <v>3570</v>
      </c>
      <c r="D95" s="102">
        <v>1.6180901401917473E-2</v>
      </c>
      <c r="E95" s="102">
        <v>6.6949631345505592E-2</v>
      </c>
      <c r="F95" s="156">
        <v>2.4649631345505598E-2</v>
      </c>
      <c r="G95" s="158">
        <v>1.52E-2</v>
      </c>
      <c r="H95" s="153"/>
      <c r="I95" s="153"/>
      <c r="J95" s="104"/>
      <c r="K95" s="104"/>
      <c r="L95" s="104"/>
    </row>
    <row r="96" spans="1:12" x14ac:dyDescent="0.25">
      <c r="A96" s="99" t="s">
        <v>3320</v>
      </c>
      <c r="B96" s="100" t="s">
        <v>3577</v>
      </c>
      <c r="C96" s="101" t="s">
        <v>3565</v>
      </c>
      <c r="D96" s="102">
        <v>5.523480540284173E-2</v>
      </c>
      <c r="E96" s="102">
        <v>0.12644349465471971</v>
      </c>
      <c r="F96" s="156">
        <v>8.4143494654719708E-2</v>
      </c>
      <c r="G96" s="158" t="s">
        <v>3578</v>
      </c>
      <c r="H96" s="153"/>
      <c r="I96" s="153"/>
      <c r="J96" s="104"/>
      <c r="K96" s="104"/>
      <c r="L96" s="104"/>
    </row>
    <row r="97" spans="1:12" x14ac:dyDescent="0.25">
      <c r="A97" s="99" t="s">
        <v>3346</v>
      </c>
      <c r="B97" s="100" t="s">
        <v>3586</v>
      </c>
      <c r="C97" s="101" t="s">
        <v>3563</v>
      </c>
      <c r="D97" s="102">
        <v>3.8254847141570306E-2</v>
      </c>
      <c r="E97" s="102">
        <v>0.10057659756375703</v>
      </c>
      <c r="F97" s="156">
        <v>5.827659756375704E-2</v>
      </c>
      <c r="G97" s="158" t="s">
        <v>3578</v>
      </c>
      <c r="H97" s="153"/>
      <c r="I97" s="153"/>
      <c r="J97" s="104"/>
      <c r="K97" s="104"/>
      <c r="L97" s="104"/>
    </row>
    <row r="98" spans="1:12" x14ac:dyDescent="0.25">
      <c r="A98" s="99" t="s">
        <v>3344</v>
      </c>
      <c r="B98" s="100" t="s">
        <v>3577</v>
      </c>
      <c r="C98" s="101" t="s">
        <v>3563</v>
      </c>
      <c r="D98" s="102">
        <v>3.8254847141570306E-2</v>
      </c>
      <c r="E98" s="102">
        <v>0.10057659756375703</v>
      </c>
      <c r="F98" s="156">
        <v>5.827659756375704E-2</v>
      </c>
      <c r="G98" s="158" t="s">
        <v>3578</v>
      </c>
      <c r="H98" s="153"/>
      <c r="I98" s="153"/>
      <c r="J98" s="104"/>
      <c r="K98" s="104"/>
      <c r="L98" s="104"/>
    </row>
    <row r="99" spans="1:12" x14ac:dyDescent="0.25">
      <c r="A99" s="99" t="s">
        <v>3604</v>
      </c>
      <c r="B99" s="100" t="s">
        <v>3583</v>
      </c>
      <c r="C99" s="101" t="s">
        <v>3571</v>
      </c>
      <c r="D99" s="102">
        <v>1.8677954087398564E-2</v>
      </c>
      <c r="E99" s="102">
        <v>7.0753586800058929E-2</v>
      </c>
      <c r="F99" s="156">
        <v>2.8453586800058932E-2</v>
      </c>
      <c r="G99" s="158" t="s">
        <v>3578</v>
      </c>
      <c r="H99" s="153"/>
      <c r="I99" s="153"/>
      <c r="J99" s="104"/>
      <c r="K99" s="104"/>
      <c r="L99" s="104"/>
    </row>
    <row r="100" spans="1:12" x14ac:dyDescent="0.25">
      <c r="A100" s="99" t="s">
        <v>3316</v>
      </c>
      <c r="B100" s="100" t="s">
        <v>3551</v>
      </c>
      <c r="C100" s="101" t="s">
        <v>3566</v>
      </c>
      <c r="D100" s="102">
        <v>2.1274888880298898E-2</v>
      </c>
      <c r="E100" s="102">
        <v>7.4709700472794391E-2</v>
      </c>
      <c r="F100" s="156">
        <v>3.2409700472794394E-2</v>
      </c>
      <c r="G100" s="158">
        <v>1.1599999999999999E-2</v>
      </c>
      <c r="H100" s="153"/>
      <c r="I100" s="153"/>
      <c r="J100" s="104"/>
      <c r="K100" s="104"/>
      <c r="L100" s="104"/>
    </row>
    <row r="101" spans="1:12" x14ac:dyDescent="0.25">
      <c r="A101" s="99" t="s">
        <v>3350</v>
      </c>
      <c r="B101" s="100" t="s">
        <v>3551</v>
      </c>
      <c r="C101" s="101" t="s">
        <v>3588</v>
      </c>
      <c r="D101" s="102">
        <v>8.4999673413776344E-2</v>
      </c>
      <c r="E101" s="102">
        <v>0.17178664367299545</v>
      </c>
      <c r="F101" s="156">
        <v>0.12948664367299545</v>
      </c>
      <c r="G101" s="158" t="s">
        <v>3578</v>
      </c>
      <c r="H101" s="153"/>
      <c r="I101" s="153"/>
      <c r="J101" s="104"/>
      <c r="K101" s="104"/>
      <c r="L101" s="104"/>
    </row>
    <row r="102" spans="1:12" x14ac:dyDescent="0.25">
      <c r="A102" s="99" t="s">
        <v>3362</v>
      </c>
      <c r="B102" s="100" t="s">
        <v>3551</v>
      </c>
      <c r="C102" s="101" t="s">
        <v>3563</v>
      </c>
      <c r="D102" s="102">
        <v>3.8254847141570306E-2</v>
      </c>
      <c r="E102" s="102">
        <v>0.10057659756375703</v>
      </c>
      <c r="F102" s="156">
        <v>5.827659756375704E-2</v>
      </c>
      <c r="G102" s="158" t="s">
        <v>3578</v>
      </c>
      <c r="H102" s="153"/>
      <c r="I102" s="153"/>
      <c r="J102" s="104"/>
      <c r="K102" s="104"/>
      <c r="L102" s="104"/>
    </row>
    <row r="103" spans="1:12" x14ac:dyDescent="0.25">
      <c r="A103" s="99" t="s">
        <v>3375</v>
      </c>
      <c r="B103" s="100" t="s">
        <v>3586</v>
      </c>
      <c r="C103" s="101" t="s">
        <v>3568</v>
      </c>
      <c r="D103" s="102">
        <v>3.0563924870288552E-2</v>
      </c>
      <c r="E103" s="102">
        <v>8.8860414763732784E-2</v>
      </c>
      <c r="F103" s="156">
        <v>4.6560414763732787E-2</v>
      </c>
      <c r="G103" s="158" t="s">
        <v>3578</v>
      </c>
      <c r="H103" s="153"/>
      <c r="I103" s="153"/>
      <c r="J103" s="104"/>
      <c r="K103" s="104"/>
      <c r="L103" s="104"/>
    </row>
    <row r="104" spans="1:12" x14ac:dyDescent="0.25">
      <c r="A104" s="99" t="s">
        <v>3372</v>
      </c>
      <c r="B104" s="100" t="s">
        <v>3580</v>
      </c>
      <c r="C104" s="101" t="s">
        <v>3562</v>
      </c>
      <c r="D104" s="102">
        <v>0</v>
      </c>
      <c r="E104" s="102">
        <v>4.2299999999999997E-2</v>
      </c>
      <c r="F104" s="156">
        <v>0</v>
      </c>
      <c r="G104" s="158">
        <v>6.0000000000000006E-4</v>
      </c>
      <c r="H104" s="153"/>
      <c r="I104" s="153"/>
      <c r="J104" s="104"/>
      <c r="K104" s="104"/>
      <c r="L104" s="104"/>
    </row>
    <row r="105" spans="1:12" x14ac:dyDescent="0.25">
      <c r="A105" s="99" t="s">
        <v>3379</v>
      </c>
      <c r="B105" s="100" t="s">
        <v>3584</v>
      </c>
      <c r="C105" s="101" t="s">
        <v>3562</v>
      </c>
      <c r="D105" s="102">
        <v>0</v>
      </c>
      <c r="E105" s="102">
        <v>4.2299999999999997E-2</v>
      </c>
      <c r="F105" s="156">
        <v>0</v>
      </c>
      <c r="G105" s="158">
        <v>8.9999999999999998E-4</v>
      </c>
      <c r="H105" s="153"/>
      <c r="I105" s="153"/>
      <c r="J105" s="104"/>
      <c r="K105" s="104"/>
      <c r="L105" s="104"/>
    </row>
    <row r="106" spans="1:12" x14ac:dyDescent="0.25">
      <c r="A106" s="99" t="s">
        <v>3370</v>
      </c>
      <c r="B106" s="100" t="s">
        <v>3581</v>
      </c>
      <c r="C106" s="101" t="s">
        <v>3564</v>
      </c>
      <c r="D106" s="102">
        <v>4.6744826272206025E-2</v>
      </c>
      <c r="E106" s="102">
        <v>0.11351004610923837</v>
      </c>
      <c r="F106" s="156">
        <v>7.1210046109238381E-2</v>
      </c>
      <c r="G106" s="158">
        <v>5.1500000000000004E-2</v>
      </c>
      <c r="H106" s="153"/>
      <c r="I106" s="153"/>
      <c r="J106" s="104"/>
      <c r="K106" s="104"/>
      <c r="L106" s="104"/>
    </row>
    <row r="107" spans="1:12" x14ac:dyDescent="0.25">
      <c r="A107" s="99" t="s">
        <v>3366</v>
      </c>
      <c r="B107" s="100" t="s">
        <v>3551</v>
      </c>
      <c r="C107" s="101" t="s">
        <v>3588</v>
      </c>
      <c r="D107" s="102">
        <v>8.4999673413776344E-2</v>
      </c>
      <c r="E107" s="102">
        <v>0.17178664367299545</v>
      </c>
      <c r="F107" s="156">
        <v>0.12948664367299545</v>
      </c>
      <c r="G107" s="158" t="s">
        <v>3578</v>
      </c>
      <c r="H107" s="153"/>
      <c r="I107" s="153"/>
      <c r="J107" s="104"/>
      <c r="K107" s="104"/>
      <c r="L107" s="104"/>
    </row>
    <row r="108" spans="1:12" x14ac:dyDescent="0.25">
      <c r="A108" s="99" t="s">
        <v>3368</v>
      </c>
      <c r="B108" s="100" t="s">
        <v>3551</v>
      </c>
      <c r="C108" s="101" t="s">
        <v>3565</v>
      </c>
      <c r="D108" s="102">
        <v>5.523480540284173E-2</v>
      </c>
      <c r="E108" s="102">
        <v>0.12644349465471971</v>
      </c>
      <c r="F108" s="156">
        <v>8.4143494654719708E-2</v>
      </c>
      <c r="G108" s="158">
        <v>3.7700000000000004E-2</v>
      </c>
      <c r="H108" s="153"/>
      <c r="I108" s="153"/>
      <c r="J108" s="104"/>
      <c r="K108" s="104"/>
      <c r="L108" s="104"/>
    </row>
    <row r="109" spans="1:12" x14ac:dyDescent="0.25">
      <c r="A109" s="99" t="s">
        <v>22</v>
      </c>
      <c r="B109" s="100" t="s">
        <v>3580</v>
      </c>
      <c r="C109" s="101" t="s">
        <v>3562</v>
      </c>
      <c r="D109" s="102">
        <v>0</v>
      </c>
      <c r="E109" s="102">
        <v>4.2299999999999997E-2</v>
      </c>
      <c r="F109" s="156">
        <v>0</v>
      </c>
      <c r="G109" s="158">
        <v>3.9999999999999996E-4</v>
      </c>
      <c r="H109" s="153"/>
      <c r="I109" s="153"/>
      <c r="J109" s="104"/>
      <c r="K109" s="104"/>
      <c r="L109" s="104"/>
    </row>
    <row r="110" spans="1:12" x14ac:dyDescent="0.25">
      <c r="A110" s="99" t="s">
        <v>3383</v>
      </c>
      <c r="B110" s="100" t="s">
        <v>3576</v>
      </c>
      <c r="C110" s="101" t="s">
        <v>3571</v>
      </c>
      <c r="D110" s="102">
        <v>1.8677954087398564E-2</v>
      </c>
      <c r="E110" s="102">
        <v>7.0753586800058929E-2</v>
      </c>
      <c r="F110" s="156">
        <v>2.8453586800058932E-2</v>
      </c>
      <c r="G110" s="158">
        <v>1.1599999999999999E-2</v>
      </c>
      <c r="H110" s="153"/>
      <c r="I110" s="153"/>
      <c r="J110" s="104"/>
      <c r="K110" s="104"/>
      <c r="L110" s="104"/>
    </row>
    <row r="111" spans="1:12" x14ac:dyDescent="0.25">
      <c r="A111" s="99" t="s">
        <v>3387</v>
      </c>
      <c r="B111" s="100" t="s">
        <v>3586</v>
      </c>
      <c r="C111" s="101" t="s">
        <v>3582</v>
      </c>
      <c r="D111" s="102">
        <v>6.3724784533477435E-2</v>
      </c>
      <c r="E111" s="102">
        <v>0.13937694320020103</v>
      </c>
      <c r="F111" s="156">
        <v>9.7076943200201035E-2</v>
      </c>
      <c r="G111" s="158">
        <v>5.0900000000000001E-2</v>
      </c>
      <c r="H111" s="153"/>
      <c r="I111" s="153"/>
      <c r="J111" s="104"/>
      <c r="K111" s="104"/>
      <c r="L111" s="104"/>
    </row>
    <row r="112" spans="1:12" x14ac:dyDescent="0.25">
      <c r="A112" s="99" t="s">
        <v>3389</v>
      </c>
      <c r="B112" s="100" t="s">
        <v>3581</v>
      </c>
      <c r="C112" s="101" t="s">
        <v>3571</v>
      </c>
      <c r="D112" s="102">
        <v>1.8677954087398564E-2</v>
      </c>
      <c r="E112" s="102">
        <v>7.0753586800058929E-2</v>
      </c>
      <c r="F112" s="156">
        <v>2.8453586800058932E-2</v>
      </c>
      <c r="G112" s="158">
        <v>2.0800000000000003E-2</v>
      </c>
      <c r="H112" s="153"/>
      <c r="I112" s="153"/>
      <c r="J112" s="104"/>
      <c r="K112" s="104"/>
      <c r="L112" s="104"/>
    </row>
    <row r="113" spans="1:12" x14ac:dyDescent="0.25">
      <c r="A113" s="99" t="s">
        <v>3397</v>
      </c>
      <c r="B113" s="100" t="s">
        <v>3586</v>
      </c>
      <c r="C113" s="101" t="s">
        <v>3564</v>
      </c>
      <c r="D113" s="102">
        <v>4.6744826272206025E-2</v>
      </c>
      <c r="E113" s="102">
        <v>0.11351004610923837</v>
      </c>
      <c r="F113" s="156">
        <v>7.1210046109238381E-2</v>
      </c>
      <c r="G113" s="158" t="s">
        <v>3578</v>
      </c>
      <c r="H113" s="153"/>
      <c r="I113" s="153"/>
      <c r="J113" s="104"/>
      <c r="K113" s="104"/>
      <c r="L113" s="104"/>
    </row>
    <row r="114" spans="1:12" x14ac:dyDescent="0.25">
      <c r="A114" s="99" t="s">
        <v>3409</v>
      </c>
      <c r="B114" s="100" t="s">
        <v>3581</v>
      </c>
      <c r="C114" s="101" t="s">
        <v>3571</v>
      </c>
      <c r="D114" s="102">
        <v>1.8677954087398564E-2</v>
      </c>
      <c r="E114" s="102">
        <v>7.0753586800058929E-2</v>
      </c>
      <c r="F114" s="156">
        <v>2.8453586800058932E-2</v>
      </c>
      <c r="G114" s="158" t="s">
        <v>3578</v>
      </c>
      <c r="H114" s="153"/>
      <c r="I114" s="153"/>
      <c r="J114" s="104"/>
      <c r="K114" s="104"/>
      <c r="L114" s="104"/>
    </row>
    <row r="115" spans="1:12" x14ac:dyDescent="0.25">
      <c r="A115" s="99" t="s">
        <v>3391</v>
      </c>
      <c r="B115" s="100" t="s">
        <v>3581</v>
      </c>
      <c r="C115" s="101" t="s">
        <v>3569</v>
      </c>
      <c r="D115" s="102">
        <v>1.3583966609017133E-2</v>
      </c>
      <c r="E115" s="102">
        <v>6.2993517672770116E-2</v>
      </c>
      <c r="F115" s="156">
        <v>2.0693517672770126E-2</v>
      </c>
      <c r="G115" s="158">
        <v>1.12E-2</v>
      </c>
      <c r="H115" s="153"/>
      <c r="I115" s="153"/>
      <c r="J115" s="104"/>
      <c r="K115" s="104"/>
      <c r="L115" s="104"/>
    </row>
    <row r="116" spans="1:12" x14ac:dyDescent="0.25">
      <c r="A116" s="99" t="s">
        <v>3393</v>
      </c>
      <c r="B116" s="100" t="s">
        <v>3586</v>
      </c>
      <c r="C116" s="101" t="s">
        <v>3570</v>
      </c>
      <c r="D116" s="102">
        <v>1.6180901401917473E-2</v>
      </c>
      <c r="E116" s="102">
        <v>6.6949631345505592E-2</v>
      </c>
      <c r="F116" s="156">
        <v>2.4649631345505598E-2</v>
      </c>
      <c r="G116" s="158">
        <v>8.8000000000000005E-3</v>
      </c>
      <c r="H116" s="153"/>
      <c r="I116" s="153"/>
      <c r="J116" s="104"/>
      <c r="K116" s="104"/>
      <c r="L116" s="104"/>
    </row>
    <row r="117" spans="1:12" x14ac:dyDescent="0.25">
      <c r="A117" s="99" t="s">
        <v>3399</v>
      </c>
      <c r="B117" s="100" t="s">
        <v>3577</v>
      </c>
      <c r="C117" s="101" t="s">
        <v>3557</v>
      </c>
      <c r="D117" s="102">
        <v>7.1915117341855425E-3</v>
      </c>
      <c r="E117" s="102">
        <v>5.3255391709113593E-2</v>
      </c>
      <c r="F117" s="156">
        <v>1.0955391709113598E-2</v>
      </c>
      <c r="G117" s="158">
        <v>8.6E-3</v>
      </c>
      <c r="H117" s="153"/>
      <c r="I117" s="153"/>
      <c r="J117" s="104"/>
      <c r="K117" s="104"/>
      <c r="L117" s="104"/>
    </row>
    <row r="118" spans="1:12" x14ac:dyDescent="0.25">
      <c r="A118" s="99" t="s">
        <v>3407</v>
      </c>
      <c r="B118" s="100" t="s">
        <v>3580</v>
      </c>
      <c r="C118" s="101" t="s">
        <v>3558</v>
      </c>
      <c r="D118" s="102">
        <v>1.0187974956762852E-2</v>
      </c>
      <c r="E118" s="102">
        <v>5.7820138254577595E-2</v>
      </c>
      <c r="F118" s="156">
        <v>1.5520138254577596E-2</v>
      </c>
      <c r="G118" s="158">
        <v>3.0999999999999995E-3</v>
      </c>
      <c r="H118" s="153"/>
      <c r="I118" s="153"/>
      <c r="J118" s="104"/>
      <c r="K118" s="104"/>
      <c r="L118" s="104"/>
    </row>
    <row r="119" spans="1:12" x14ac:dyDescent="0.25">
      <c r="A119" s="99" t="s">
        <v>3419</v>
      </c>
      <c r="B119" s="100" t="s">
        <v>3576</v>
      </c>
      <c r="C119" s="101" t="s">
        <v>3560</v>
      </c>
      <c r="D119" s="102">
        <v>4.195048511608233E-3</v>
      </c>
      <c r="E119" s="102">
        <v>4.8690645163649598E-2</v>
      </c>
      <c r="F119" s="156">
        <v>6.3906451636495986E-3</v>
      </c>
      <c r="G119" s="158">
        <v>4.7000000000000002E-3</v>
      </c>
      <c r="H119" s="153"/>
      <c r="I119" s="153"/>
      <c r="J119" s="104"/>
      <c r="K119" s="104"/>
      <c r="L119" s="104"/>
    </row>
    <row r="120" spans="1:12" x14ac:dyDescent="0.25">
      <c r="A120" s="99" t="s">
        <v>3605</v>
      </c>
      <c r="B120" s="100" t="s">
        <v>3576</v>
      </c>
      <c r="C120" s="101" t="s">
        <v>3558</v>
      </c>
      <c r="D120" s="102">
        <v>1.0187974956762852E-2</v>
      </c>
      <c r="E120" s="102">
        <v>5.7820138254577595E-2</v>
      </c>
      <c r="F120" s="156">
        <v>1.5520138254577596E-2</v>
      </c>
      <c r="G120" s="158" t="s">
        <v>3578</v>
      </c>
      <c r="H120" s="153"/>
      <c r="I120" s="153"/>
      <c r="J120" s="104"/>
      <c r="K120" s="104"/>
      <c r="L120" s="104"/>
    </row>
    <row r="121" spans="1:12" x14ac:dyDescent="0.25">
      <c r="A121" s="99" t="s">
        <v>3421</v>
      </c>
      <c r="B121" s="100" t="s">
        <v>3577</v>
      </c>
      <c r="C121" s="101" t="s">
        <v>3571</v>
      </c>
      <c r="D121" s="102">
        <v>1.8677954087398564E-2</v>
      </c>
      <c r="E121" s="102">
        <v>7.0753586800058929E-2</v>
      </c>
      <c r="F121" s="156">
        <v>2.8453586800058932E-2</v>
      </c>
      <c r="G121" s="158">
        <v>1.9700000000000002E-2</v>
      </c>
      <c r="H121" s="153"/>
      <c r="I121" s="153"/>
      <c r="J121" s="104"/>
      <c r="K121" s="104"/>
      <c r="L121" s="104"/>
    </row>
    <row r="122" spans="1:12" x14ac:dyDescent="0.25">
      <c r="A122" s="99" t="s">
        <v>3425</v>
      </c>
      <c r="B122" s="100" t="s">
        <v>3551</v>
      </c>
      <c r="C122" s="101" t="s">
        <v>3564</v>
      </c>
      <c r="D122" s="102">
        <v>4.6744826272206025E-2</v>
      </c>
      <c r="E122" s="102">
        <v>0.11351004610923837</v>
      </c>
      <c r="F122" s="156">
        <v>7.1210046109238381E-2</v>
      </c>
      <c r="G122" s="158">
        <v>3.8900000000000004E-2</v>
      </c>
      <c r="H122" s="153"/>
      <c r="I122" s="153"/>
      <c r="J122" s="104"/>
      <c r="K122" s="104"/>
      <c r="L122" s="104"/>
    </row>
    <row r="123" spans="1:12" x14ac:dyDescent="0.25">
      <c r="A123" s="99" t="s">
        <v>3429</v>
      </c>
      <c r="B123" s="100" t="s">
        <v>3576</v>
      </c>
      <c r="C123" s="101" t="s">
        <v>3561</v>
      </c>
      <c r="D123" s="102">
        <v>5.093987478381426E-3</v>
      </c>
      <c r="E123" s="102">
        <v>5.0060069127288796E-2</v>
      </c>
      <c r="F123" s="156">
        <v>7.7600691272887981E-3</v>
      </c>
      <c r="G123" s="158">
        <v>9.7999999999999997E-3</v>
      </c>
      <c r="H123" s="153"/>
      <c r="I123" s="153"/>
      <c r="J123" s="104"/>
      <c r="K123" s="104"/>
      <c r="L123" s="104"/>
    </row>
    <row r="124" spans="1:12" x14ac:dyDescent="0.25">
      <c r="A124" s="99" t="s">
        <v>3433</v>
      </c>
      <c r="B124" s="100" t="s">
        <v>3551</v>
      </c>
      <c r="C124" s="101" t="s">
        <v>3582</v>
      </c>
      <c r="D124" s="102">
        <v>6.3724784533477435E-2</v>
      </c>
      <c r="E124" s="102">
        <v>0.13937694320020103</v>
      </c>
      <c r="F124" s="156">
        <v>9.7076943200201035E-2</v>
      </c>
      <c r="G124" s="158">
        <v>9.7900000000000001E-2</v>
      </c>
      <c r="H124" s="153"/>
      <c r="I124" s="153"/>
      <c r="J124" s="104"/>
      <c r="K124" s="104"/>
      <c r="L124" s="104"/>
    </row>
    <row r="125" spans="1:12" x14ac:dyDescent="0.25">
      <c r="A125" s="99" t="s">
        <v>3447</v>
      </c>
      <c r="B125" s="100" t="s">
        <v>3577</v>
      </c>
      <c r="C125" s="101" t="s">
        <v>3567</v>
      </c>
      <c r="D125" s="102">
        <v>2.5569819499326372E-2</v>
      </c>
      <c r="E125" s="102">
        <v>8.1252503854626124E-2</v>
      </c>
      <c r="F125" s="156">
        <v>3.8952503854626126E-2</v>
      </c>
      <c r="G125" s="158">
        <v>1.8200000000000001E-2</v>
      </c>
      <c r="H125" s="153"/>
      <c r="I125" s="153"/>
      <c r="J125" s="104"/>
      <c r="K125" s="104"/>
      <c r="L125" s="104"/>
    </row>
    <row r="126" spans="1:12" x14ac:dyDescent="0.25">
      <c r="A126" s="99" t="s">
        <v>3606</v>
      </c>
      <c r="B126" s="100" t="s">
        <v>3576</v>
      </c>
      <c r="C126" s="101" t="s">
        <v>3566</v>
      </c>
      <c r="D126" s="102">
        <v>2.1274888880298898E-2</v>
      </c>
      <c r="E126" s="102">
        <v>7.4709700472794391E-2</v>
      </c>
      <c r="F126" s="156">
        <v>3.2409700472794394E-2</v>
      </c>
      <c r="G126" s="158" t="e">
        <v>#N/A</v>
      </c>
      <c r="H126" s="153"/>
      <c r="I126" s="153"/>
      <c r="J126" s="104"/>
      <c r="K126" s="104"/>
      <c r="L126" s="104"/>
    </row>
    <row r="127" spans="1:12" x14ac:dyDescent="0.25">
      <c r="A127" s="99" t="s">
        <v>3435</v>
      </c>
      <c r="B127" s="100" t="s">
        <v>3586</v>
      </c>
      <c r="C127" s="101" t="s">
        <v>3562</v>
      </c>
      <c r="D127" s="102">
        <v>0</v>
      </c>
      <c r="E127" s="102">
        <v>4.2299999999999997E-2</v>
      </c>
      <c r="F127" s="156">
        <v>0</v>
      </c>
      <c r="G127" s="158" t="e">
        <v>#N/A</v>
      </c>
      <c r="H127" s="153"/>
      <c r="I127" s="153"/>
      <c r="J127" s="104"/>
      <c r="K127" s="104"/>
      <c r="L127" s="104"/>
    </row>
    <row r="128" spans="1:12" x14ac:dyDescent="0.25">
      <c r="A128" s="99" t="s">
        <v>3607</v>
      </c>
      <c r="B128" s="100" t="s">
        <v>3577</v>
      </c>
      <c r="C128" s="101" t="s">
        <v>3558</v>
      </c>
      <c r="D128" s="102">
        <v>1.0187974956762852E-2</v>
      </c>
      <c r="E128" s="102">
        <v>5.7820138254577595E-2</v>
      </c>
      <c r="F128" s="156">
        <v>1.5520138254577596E-2</v>
      </c>
      <c r="G128" s="158">
        <v>4.3E-3</v>
      </c>
      <c r="H128" s="153"/>
      <c r="I128" s="153"/>
      <c r="J128" s="104"/>
      <c r="K128" s="104"/>
      <c r="L128" s="104"/>
    </row>
    <row r="129" spans="1:12" x14ac:dyDescent="0.25">
      <c r="A129" s="99" t="s">
        <v>3463</v>
      </c>
      <c r="B129" s="100" t="s">
        <v>3577</v>
      </c>
      <c r="C129" s="101" t="s">
        <v>3558</v>
      </c>
      <c r="D129" s="102">
        <v>1.0187974956762852E-2</v>
      </c>
      <c r="E129" s="102">
        <v>5.7820138254577595E-2</v>
      </c>
      <c r="F129" s="156">
        <v>1.5520138254577596E-2</v>
      </c>
      <c r="G129" s="158">
        <v>5.3E-3</v>
      </c>
      <c r="H129" s="153"/>
      <c r="I129" s="153"/>
      <c r="J129" s="104"/>
      <c r="K129" s="104"/>
      <c r="L129" s="104"/>
    </row>
    <row r="130" spans="1:12" x14ac:dyDescent="0.25">
      <c r="A130" s="99" t="s">
        <v>3437</v>
      </c>
      <c r="B130" s="100" t="s">
        <v>3586</v>
      </c>
      <c r="C130" s="101" t="s">
        <v>3582</v>
      </c>
      <c r="D130" s="102">
        <v>6.3724784533477435E-2</v>
      </c>
      <c r="E130" s="102">
        <v>0.13937694320020103</v>
      </c>
      <c r="F130" s="156">
        <v>9.7076943200201035E-2</v>
      </c>
      <c r="G130" s="158" t="e">
        <v>#N/A</v>
      </c>
      <c r="H130" s="153"/>
      <c r="I130" s="153"/>
      <c r="J130" s="104"/>
      <c r="K130" s="104"/>
      <c r="L130" s="104"/>
    </row>
    <row r="131" spans="1:12" x14ac:dyDescent="0.25">
      <c r="A131" s="99" t="s">
        <v>3544</v>
      </c>
      <c r="B131" s="100" t="s">
        <v>3551</v>
      </c>
      <c r="C131" s="101" t="s">
        <v>3567</v>
      </c>
      <c r="D131" s="102">
        <v>2.5569819499326372E-2</v>
      </c>
      <c r="E131" s="102">
        <v>8.1252503854626124E-2</v>
      </c>
      <c r="F131" s="156">
        <v>3.8952503854626126E-2</v>
      </c>
      <c r="G131" s="158">
        <v>2.2600000000000002E-2</v>
      </c>
      <c r="H131" s="153"/>
      <c r="I131" s="153"/>
      <c r="J131" s="104"/>
      <c r="K131" s="104"/>
      <c r="L131" s="104"/>
    </row>
    <row r="132" spans="1:12" x14ac:dyDescent="0.25">
      <c r="A132" s="99" t="s">
        <v>3161</v>
      </c>
      <c r="B132" s="100" t="s">
        <v>3580</v>
      </c>
      <c r="C132" s="101" t="s">
        <v>3558</v>
      </c>
      <c r="D132" s="102">
        <v>1.0187974956762852E-2</v>
      </c>
      <c r="E132" s="102">
        <v>5.7820138254577595E-2</v>
      </c>
      <c r="F132" s="156">
        <v>1.5520138254577596E-2</v>
      </c>
      <c r="G132" s="158">
        <v>3.0999999999999995E-3</v>
      </c>
      <c r="H132" s="153"/>
      <c r="I132" s="153"/>
      <c r="J132" s="104"/>
      <c r="K132" s="104"/>
      <c r="L132" s="104"/>
    </row>
    <row r="133" spans="1:12" x14ac:dyDescent="0.25">
      <c r="A133" s="99" t="s">
        <v>3296</v>
      </c>
      <c r="B133" s="100" t="s">
        <v>3586</v>
      </c>
      <c r="C133" s="101" t="s">
        <v>3573</v>
      </c>
      <c r="D133" s="102">
        <v>0.10197963167504777</v>
      </c>
      <c r="E133" s="102">
        <v>0.19765354076395811</v>
      </c>
      <c r="F133" s="156">
        <v>0.1553535407639581</v>
      </c>
      <c r="G133" s="158" t="s">
        <v>3578</v>
      </c>
      <c r="H133" s="153"/>
      <c r="I133" s="153"/>
      <c r="J133" s="104"/>
      <c r="K133" s="104"/>
      <c r="L133" s="104"/>
    </row>
    <row r="134" spans="1:12" x14ac:dyDescent="0.25">
      <c r="A134" s="99" t="s">
        <v>3608</v>
      </c>
      <c r="B134" s="100" t="s">
        <v>3583</v>
      </c>
      <c r="C134" s="101" t="s">
        <v>3567</v>
      </c>
      <c r="D134" s="102">
        <v>2.5569819499326372E-2</v>
      </c>
      <c r="E134" s="102">
        <v>8.1252503854626124E-2</v>
      </c>
      <c r="F134" s="156">
        <v>3.8952503854626126E-2</v>
      </c>
      <c r="G134" s="158" t="e">
        <v>#N/A</v>
      </c>
      <c r="H134" s="153"/>
      <c r="I134" s="153"/>
      <c r="J134" s="104"/>
      <c r="K134" s="104"/>
      <c r="L134" s="104"/>
    </row>
    <row r="135" spans="1:12" x14ac:dyDescent="0.25">
      <c r="A135" s="99" t="s">
        <v>3609</v>
      </c>
      <c r="B135" s="100" t="s">
        <v>3583</v>
      </c>
      <c r="C135" s="101" t="s">
        <v>3565</v>
      </c>
      <c r="D135" s="102">
        <v>5.523480540284173E-2</v>
      </c>
      <c r="E135" s="102">
        <v>0.12644349465471971</v>
      </c>
      <c r="F135" s="156">
        <v>8.4143494654719708E-2</v>
      </c>
      <c r="G135" s="158" t="e">
        <v>#N/A</v>
      </c>
      <c r="H135" s="153"/>
      <c r="I135" s="153"/>
      <c r="J135" s="104"/>
      <c r="K135" s="104"/>
      <c r="L135" s="104"/>
    </row>
    <row r="136" spans="1:12" x14ac:dyDescent="0.25">
      <c r="A136" s="99" t="s">
        <v>3459</v>
      </c>
      <c r="B136" s="100" t="s">
        <v>3581</v>
      </c>
      <c r="C136" s="101" t="s">
        <v>3582</v>
      </c>
      <c r="D136" s="102">
        <v>6.3724784533477435E-2</v>
      </c>
      <c r="E136" s="102">
        <v>0.13937694320020103</v>
      </c>
      <c r="F136" s="156">
        <v>9.7076943200201035E-2</v>
      </c>
      <c r="G136" s="158" t="e">
        <v>#N/A</v>
      </c>
      <c r="H136" s="153"/>
      <c r="I136" s="153"/>
      <c r="J136" s="104"/>
      <c r="K136" s="104"/>
      <c r="L136" s="104"/>
    </row>
    <row r="137" spans="1:12" x14ac:dyDescent="0.25">
      <c r="A137" s="99" t="s">
        <v>3610</v>
      </c>
      <c r="B137" s="100" t="s">
        <v>3551</v>
      </c>
      <c r="C137" s="101" t="s">
        <v>3564</v>
      </c>
      <c r="D137" s="102">
        <v>4.6744826272206025E-2</v>
      </c>
      <c r="E137" s="102">
        <v>0.11351004610923837</v>
      </c>
      <c r="F137" s="156">
        <v>7.1210046109238381E-2</v>
      </c>
      <c r="G137" s="158" t="e">
        <v>#N/A</v>
      </c>
      <c r="H137" s="153"/>
      <c r="I137" s="153"/>
      <c r="J137" s="104"/>
      <c r="K137" s="104"/>
      <c r="L137" s="104"/>
    </row>
    <row r="138" spans="1:12" x14ac:dyDescent="0.25">
      <c r="A138" s="99" t="s">
        <v>3465</v>
      </c>
      <c r="B138" s="100" t="s">
        <v>3580</v>
      </c>
      <c r="C138" s="101" t="s">
        <v>3562</v>
      </c>
      <c r="D138" s="102">
        <v>0</v>
      </c>
      <c r="E138" s="102">
        <v>4.2299999999999997E-2</v>
      </c>
      <c r="F138" s="156">
        <v>0</v>
      </c>
      <c r="G138" s="158">
        <v>6.0000000000000006E-4</v>
      </c>
      <c r="H138" s="153"/>
      <c r="I138" s="153"/>
      <c r="J138" s="104"/>
      <c r="K138" s="104"/>
      <c r="L138" s="104"/>
    </row>
    <row r="139" spans="1:12" x14ac:dyDescent="0.25">
      <c r="A139" s="99" t="s">
        <v>3097</v>
      </c>
      <c r="B139" s="100" t="s">
        <v>3580</v>
      </c>
      <c r="C139" s="101" t="s">
        <v>3562</v>
      </c>
      <c r="D139" s="102">
        <v>0</v>
      </c>
      <c r="E139" s="102">
        <v>4.2299999999999997E-2</v>
      </c>
      <c r="F139" s="156">
        <v>0</v>
      </c>
      <c r="G139" s="158">
        <v>0</v>
      </c>
      <c r="H139" s="153"/>
      <c r="I139" s="153"/>
      <c r="J139" s="104"/>
      <c r="K139" s="104"/>
      <c r="L139" s="104"/>
    </row>
    <row r="140" spans="1:12" x14ac:dyDescent="0.25">
      <c r="A140" s="99" t="s">
        <v>3611</v>
      </c>
      <c r="B140" s="100" t="s">
        <v>3586</v>
      </c>
      <c r="C140" s="101" t="s">
        <v>3561</v>
      </c>
      <c r="D140" s="102">
        <v>5.093987478381426E-3</v>
      </c>
      <c r="E140" s="102">
        <v>5.0060069127288796E-2</v>
      </c>
      <c r="F140" s="156">
        <v>7.7600691272887981E-3</v>
      </c>
      <c r="G140" s="158" t="e">
        <v>#N/A</v>
      </c>
      <c r="H140" s="153"/>
      <c r="I140" s="153"/>
      <c r="J140" s="104"/>
      <c r="K140" s="104"/>
      <c r="L140" s="104"/>
    </row>
    <row r="141" spans="1:12" x14ac:dyDescent="0.25">
      <c r="A141" s="99" t="s">
        <v>3487</v>
      </c>
      <c r="B141" s="100" t="s">
        <v>3577</v>
      </c>
      <c r="C141" s="101" t="s">
        <v>3565</v>
      </c>
      <c r="D141" s="102">
        <v>5.523480540284173E-2</v>
      </c>
      <c r="E141" s="102">
        <v>0.12644349465471971</v>
      </c>
      <c r="F141" s="156">
        <v>8.4143494654719708E-2</v>
      </c>
      <c r="G141" s="158" t="e">
        <v>#N/A</v>
      </c>
      <c r="H141" s="153"/>
      <c r="I141" s="153"/>
      <c r="J141" s="104"/>
      <c r="K141" s="104"/>
      <c r="L141" s="104"/>
    </row>
    <row r="142" spans="1:12" x14ac:dyDescent="0.25">
      <c r="A142" s="99" t="s">
        <v>3511</v>
      </c>
      <c r="B142" s="100" t="s">
        <v>3551</v>
      </c>
      <c r="C142" s="101" t="s">
        <v>3563</v>
      </c>
      <c r="D142" s="102">
        <v>3.8254847141570306E-2</v>
      </c>
      <c r="E142" s="102">
        <v>0.10057659756375703</v>
      </c>
      <c r="F142" s="156">
        <v>5.827659756375704E-2</v>
      </c>
      <c r="G142" s="158" t="e">
        <v>#N/A</v>
      </c>
      <c r="H142" s="153"/>
      <c r="I142" s="153"/>
      <c r="J142" s="104"/>
      <c r="K142" s="104"/>
      <c r="L142" s="104"/>
    </row>
    <row r="143" spans="1:12" x14ac:dyDescent="0.25">
      <c r="A143" s="99" t="s">
        <v>3485</v>
      </c>
      <c r="B143" s="100" t="s">
        <v>3586</v>
      </c>
      <c r="C143" s="101" t="s">
        <v>3569</v>
      </c>
      <c r="D143" s="102">
        <v>1.3583966609017133E-2</v>
      </c>
      <c r="E143" s="102">
        <v>6.2993517672770116E-2</v>
      </c>
      <c r="F143" s="156">
        <v>2.0693517672770126E-2</v>
      </c>
      <c r="G143" s="158">
        <v>5.1999999999999998E-3</v>
      </c>
      <c r="H143" s="153"/>
      <c r="I143" s="153"/>
      <c r="J143" s="104"/>
      <c r="K143" s="104"/>
      <c r="L143" s="104"/>
    </row>
    <row r="144" spans="1:12" x14ac:dyDescent="0.25">
      <c r="A144" s="99" t="s">
        <v>3483</v>
      </c>
      <c r="B144" s="100" t="s">
        <v>3551</v>
      </c>
      <c r="C144" s="101" t="s">
        <v>3565</v>
      </c>
      <c r="D144" s="102">
        <v>5.523480540284173E-2</v>
      </c>
      <c r="E144" s="102">
        <v>0.12644349465471971</v>
      </c>
      <c r="F144" s="156">
        <v>8.4143494654719708E-2</v>
      </c>
      <c r="G144" s="158" t="e">
        <v>#N/A</v>
      </c>
      <c r="H144" s="153"/>
      <c r="I144" s="153"/>
      <c r="J144" s="104"/>
      <c r="K144" s="104"/>
      <c r="L144" s="104"/>
    </row>
    <row r="145" spans="1:12" x14ac:dyDescent="0.25">
      <c r="A145" s="99" t="s">
        <v>3503</v>
      </c>
      <c r="B145" s="100" t="s">
        <v>3583</v>
      </c>
      <c r="C145" s="101" t="s">
        <v>3567</v>
      </c>
      <c r="D145" s="102">
        <v>2.5569819499326372E-2</v>
      </c>
      <c r="E145" s="102">
        <v>8.1252503854626124E-2</v>
      </c>
      <c r="F145" s="156">
        <v>3.8952503854626126E-2</v>
      </c>
      <c r="G145" s="158" t="e">
        <v>#N/A</v>
      </c>
      <c r="H145" s="153"/>
      <c r="I145" s="153"/>
      <c r="J145" s="104"/>
      <c r="K145" s="104"/>
      <c r="L145" s="104"/>
    </row>
    <row r="146" spans="1:12" x14ac:dyDescent="0.25">
      <c r="A146" s="99" t="s">
        <v>3505</v>
      </c>
      <c r="B146" s="100" t="s">
        <v>3551</v>
      </c>
      <c r="C146" s="101" t="s">
        <v>3582</v>
      </c>
      <c r="D146" s="102">
        <v>6.3724784533477435E-2</v>
      </c>
      <c r="E146" s="102">
        <v>0.13937694320020103</v>
      </c>
      <c r="F146" s="156">
        <v>9.7076943200201035E-2</v>
      </c>
      <c r="G146" s="158">
        <v>6.8699999999999997E-2</v>
      </c>
      <c r="H146" s="153"/>
      <c r="I146" s="153"/>
      <c r="J146" s="104"/>
      <c r="K146" s="104"/>
      <c r="L146" s="104"/>
    </row>
    <row r="147" spans="1:12" x14ac:dyDescent="0.25">
      <c r="A147" s="99" t="s">
        <v>3612</v>
      </c>
      <c r="B147" s="100" t="s">
        <v>3580</v>
      </c>
      <c r="C147" s="101" t="s">
        <v>3568</v>
      </c>
      <c r="D147" s="102">
        <v>3.0563924870288552E-2</v>
      </c>
      <c r="E147" s="102">
        <v>8.8860414763732784E-2</v>
      </c>
      <c r="F147" s="156">
        <v>4.6560414763732787E-2</v>
      </c>
      <c r="G147" s="158">
        <v>2.8500000000000001E-2</v>
      </c>
      <c r="H147" s="153"/>
      <c r="I147" s="153"/>
      <c r="J147" s="104"/>
      <c r="K147" s="104"/>
      <c r="L147" s="104"/>
    </row>
    <row r="148" spans="1:12" x14ac:dyDescent="0.25">
      <c r="A148" s="99" t="s">
        <v>3475</v>
      </c>
      <c r="B148" s="100" t="s">
        <v>3583</v>
      </c>
      <c r="C148" s="101" t="s">
        <v>3569</v>
      </c>
      <c r="D148" s="102">
        <v>1.3583966609017133E-2</v>
      </c>
      <c r="E148" s="102">
        <v>6.2993517672770116E-2</v>
      </c>
      <c r="F148" s="156">
        <v>2.0693517672770126E-2</v>
      </c>
      <c r="G148" s="158" t="e">
        <v>#N/A</v>
      </c>
      <c r="H148" s="153"/>
      <c r="I148" s="153"/>
      <c r="J148" s="104"/>
      <c r="K148" s="104"/>
      <c r="L148" s="104"/>
    </row>
    <row r="149" spans="1:12" x14ac:dyDescent="0.25">
      <c r="A149" s="99" t="s">
        <v>3513</v>
      </c>
      <c r="B149" s="100" t="s">
        <v>3551</v>
      </c>
      <c r="C149" s="101" t="s">
        <v>3565</v>
      </c>
      <c r="D149" s="102">
        <v>5.523480540284173E-2</v>
      </c>
      <c r="E149" s="102">
        <v>0.12644349465471971</v>
      </c>
      <c r="F149" s="156">
        <v>8.4143494654719708E-2</v>
      </c>
      <c r="G149" s="158" t="e">
        <v>#N/A</v>
      </c>
      <c r="H149" s="153"/>
      <c r="I149" s="153"/>
      <c r="J149" s="104"/>
      <c r="K149" s="104"/>
      <c r="L149" s="104"/>
    </row>
    <row r="150" spans="1:12" x14ac:dyDescent="0.25">
      <c r="A150" s="99" t="s">
        <v>3515</v>
      </c>
      <c r="B150" s="100" t="s">
        <v>3577</v>
      </c>
      <c r="C150" s="101" t="s">
        <v>3573</v>
      </c>
      <c r="D150" s="102">
        <v>0.10197963167504777</v>
      </c>
      <c r="E150" s="102">
        <v>0.19765354076395811</v>
      </c>
      <c r="F150" s="156">
        <v>0.1553535407639581</v>
      </c>
      <c r="G150" s="158" t="s">
        <v>3578</v>
      </c>
      <c r="H150" s="153"/>
      <c r="I150" s="153"/>
      <c r="J150" s="104"/>
      <c r="K150" s="104"/>
      <c r="L150" s="104"/>
    </row>
    <row r="151" spans="1:12" x14ac:dyDescent="0.25">
      <c r="A151" s="99" t="s">
        <v>3039</v>
      </c>
      <c r="B151" s="100" t="s">
        <v>3576</v>
      </c>
      <c r="C151" s="101" t="s">
        <v>3560</v>
      </c>
      <c r="D151" s="102">
        <v>4.195048511608233E-3</v>
      </c>
      <c r="E151" s="102">
        <v>4.8690645163649598E-2</v>
      </c>
      <c r="F151" s="156">
        <v>6.3906451636495986E-3</v>
      </c>
      <c r="G151" s="158" t="e">
        <v>#N/A</v>
      </c>
      <c r="H151" s="153"/>
      <c r="I151" s="153"/>
      <c r="J151" s="104"/>
      <c r="K151" s="104"/>
      <c r="L151" s="104"/>
    </row>
    <row r="152" spans="1:12" x14ac:dyDescent="0.25">
      <c r="A152" s="99" t="s">
        <v>3183</v>
      </c>
      <c r="B152" s="100" t="s">
        <v>3580</v>
      </c>
      <c r="C152" s="101" t="s">
        <v>3561</v>
      </c>
      <c r="D152" s="102">
        <v>5.093987478381426E-3</v>
      </c>
      <c r="E152" s="102">
        <v>5.0060069127288796E-2</v>
      </c>
      <c r="F152" s="156">
        <v>7.7600691272887981E-3</v>
      </c>
      <c r="G152" s="158">
        <v>2.3E-3</v>
      </c>
      <c r="H152" s="153"/>
      <c r="I152" s="153"/>
      <c r="J152" s="104"/>
      <c r="K152" s="104"/>
      <c r="L152" s="104"/>
    </row>
    <row r="153" spans="1:12" s="78" customFormat="1" x14ac:dyDescent="0.25">
      <c r="A153" s="108" t="s">
        <v>13</v>
      </c>
      <c r="B153" s="109" t="s">
        <v>3360</v>
      </c>
      <c r="C153" s="110" t="s">
        <v>3559</v>
      </c>
      <c r="D153" s="111">
        <v>2.3336791699920191E-3</v>
      </c>
      <c r="E153" s="111">
        <v>4.4600000000000001E-2</v>
      </c>
      <c r="F153" s="112">
        <v>2.3336791699920191E-3</v>
      </c>
      <c r="G153" s="159">
        <v>3.0000000000000001E-3</v>
      </c>
      <c r="H153" s="161"/>
      <c r="I153" s="161"/>
      <c r="J153" s="98"/>
      <c r="K153" s="98"/>
      <c r="L153" s="98"/>
    </row>
    <row r="154" spans="1:12" x14ac:dyDescent="0.25">
      <c r="A154" s="99" t="s">
        <v>3519</v>
      </c>
      <c r="B154" s="100" t="s">
        <v>3581</v>
      </c>
      <c r="C154" s="101" t="s">
        <v>3569</v>
      </c>
      <c r="D154" s="102">
        <v>1.3583966609017133E-2</v>
      </c>
      <c r="E154" s="102">
        <v>6.2993517672770116E-2</v>
      </c>
      <c r="F154" s="156">
        <v>2.0693517672770126E-2</v>
      </c>
      <c r="G154" s="158">
        <v>6.3E-3</v>
      </c>
      <c r="H154" s="153"/>
      <c r="I154" s="153"/>
      <c r="J154" s="104"/>
      <c r="K154" s="104"/>
      <c r="L154" s="104"/>
    </row>
    <row r="155" spans="1:12" x14ac:dyDescent="0.25">
      <c r="A155" s="99" t="s">
        <v>3522</v>
      </c>
      <c r="B155" s="100" t="s">
        <v>3577</v>
      </c>
      <c r="C155" s="101" t="s">
        <v>3568</v>
      </c>
      <c r="D155" s="102">
        <v>3.0563924870288552E-2</v>
      </c>
      <c r="E155" s="102">
        <v>8.8860414763732784E-2</v>
      </c>
      <c r="F155" s="156">
        <v>4.6560414763732787E-2</v>
      </c>
      <c r="G155" s="158" t="e">
        <v>#N/A</v>
      </c>
      <c r="H155" s="153"/>
      <c r="I155" s="153"/>
      <c r="J155" s="104"/>
      <c r="K155" s="104"/>
      <c r="L155" s="104"/>
    </row>
    <row r="156" spans="1:12" x14ac:dyDescent="0.25">
      <c r="A156" s="99" t="s">
        <v>3613</v>
      </c>
      <c r="B156" s="100" t="s">
        <v>3581</v>
      </c>
      <c r="C156" s="101" t="s">
        <v>3572</v>
      </c>
      <c r="D156" s="102">
        <v>0.17499999999999999</v>
      </c>
      <c r="E156" s="102">
        <v>0.30889117303269015</v>
      </c>
      <c r="F156" s="156">
        <v>0.26659117303269014</v>
      </c>
      <c r="G156" s="158">
        <v>9.1499999999999998E-2</v>
      </c>
      <c r="H156" s="153"/>
      <c r="I156" s="153"/>
      <c r="J156" s="104"/>
      <c r="K156" s="104"/>
      <c r="L156" s="104"/>
    </row>
    <row r="157" spans="1:12" x14ac:dyDescent="0.25">
      <c r="A157" s="99" t="s">
        <v>3614</v>
      </c>
      <c r="B157" s="100" t="s">
        <v>3586</v>
      </c>
      <c r="C157" s="101" t="s">
        <v>3567</v>
      </c>
      <c r="D157" s="102">
        <v>2.5569819499326372E-2</v>
      </c>
      <c r="E157" s="102">
        <v>8.1252503854626124E-2</v>
      </c>
      <c r="F157" s="156">
        <v>3.8952503854626126E-2</v>
      </c>
      <c r="G157" s="158">
        <v>1.37E-2</v>
      </c>
      <c r="H157" s="153"/>
      <c r="I157" s="153"/>
      <c r="J157" s="104"/>
      <c r="K157" s="104"/>
      <c r="L157" s="104"/>
    </row>
    <row r="158" spans="1:12" x14ac:dyDescent="0.25">
      <c r="A158" s="99" t="s">
        <v>3546</v>
      </c>
      <c r="B158" s="100" t="s">
        <v>3551</v>
      </c>
      <c r="C158" s="101" t="s">
        <v>3587</v>
      </c>
      <c r="D158" s="102">
        <v>7.6509694283140611E-2</v>
      </c>
      <c r="E158" s="102">
        <v>0.15885319512751409</v>
      </c>
      <c r="F158" s="156">
        <v>0.11655319512751408</v>
      </c>
      <c r="G158" s="160">
        <v>3.9400000000000004E-2</v>
      </c>
      <c r="H158" s="153"/>
      <c r="I158" s="153"/>
      <c r="J158" s="104"/>
      <c r="K158" s="104"/>
      <c r="L158" s="10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20</vt:i4>
      </vt:variant>
    </vt:vector>
  </HeadingPairs>
  <TitlesOfParts>
    <vt:vector size="20" baseType="lpstr">
      <vt:lpstr>Shareholders</vt:lpstr>
      <vt:lpstr>Geographical Distribution</vt:lpstr>
      <vt:lpstr>Cost vs Margin</vt:lpstr>
      <vt:lpstr>Profitability</vt:lpstr>
      <vt:lpstr>Liquidity-Solvency</vt:lpstr>
      <vt:lpstr>Financial Leverage</vt:lpstr>
      <vt:lpstr>Market Performance</vt:lpstr>
      <vt:lpstr>Risk analysis</vt:lpstr>
      <vt:lpstr>Cost of Equity</vt:lpstr>
      <vt:lpstr>Cost of Debt</vt:lpstr>
      <vt:lpstr>Company Valuation</vt:lpstr>
      <vt:lpstr>Cash Flow</vt:lpstr>
      <vt:lpstr>Income Statement</vt:lpstr>
      <vt:lpstr>Consolidated Balance Sheet</vt:lpstr>
      <vt:lpstr>CSCO Daily</vt:lpstr>
      <vt:lpstr>CSCO Monthly</vt:lpstr>
      <vt:lpstr>SPY</vt:lpstr>
      <vt:lpstr>CDS Spread</vt:lpstr>
      <vt:lpstr>Inflation Rates</vt:lpstr>
      <vt:lpstr>Country Risk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ciliegio</dc:creator>
  <cp:lastModifiedBy>Andrea Ciliegio</cp:lastModifiedBy>
  <dcterms:created xsi:type="dcterms:W3CDTF">2015-06-05T18:19:34Z</dcterms:created>
  <dcterms:modified xsi:type="dcterms:W3CDTF">2026-06-19T18:12:55Z</dcterms:modified>
</cp:coreProperties>
</file>